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D:\Projects\FrontAcc Manual Testing\"/>
    </mc:Choice>
  </mc:AlternateContent>
  <xr:revisionPtr revIDLastSave="0" documentId="13_ncr:1_{19478942-D2B1-45DA-AE92-1AEF1634CF75}" xr6:coauthVersionLast="47" xr6:coauthVersionMax="47" xr10:uidLastSave="{00000000-0000-0000-0000-000000000000}"/>
  <bookViews>
    <workbookView xWindow="-108" yWindow="-108" windowWidth="23256" windowHeight="12456" xr2:uid="{00000000-000D-0000-FFFF-FFFF00000000}"/>
  </bookViews>
  <sheets>
    <sheet name="Introduction" sheetId="1" r:id="rId1"/>
    <sheet name="Test Scenario" sheetId="2" r:id="rId2"/>
    <sheet name="Defect Report" sheetId="7" r:id="rId3"/>
    <sheet name="Login - TC" sheetId="3" r:id="rId4"/>
    <sheet name="Sales - TC" sheetId="4" r:id="rId5"/>
    <sheet name="Purchase - TC" sheetId="5" r:id="rId6"/>
    <sheet name="Items &amp; Inventory - TC"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 i="6" l="1"/>
  <c r="O1" i="6"/>
  <c r="Q1" i="5"/>
  <c r="O1" i="5"/>
  <c r="L216" i="7"/>
  <c r="L204" i="7"/>
  <c r="L197" i="7"/>
  <c r="L185" i="7"/>
  <c r="L90" i="7"/>
  <c r="L78" i="7"/>
  <c r="L178" i="7"/>
  <c r="L167" i="7"/>
  <c r="L160" i="7"/>
  <c r="L150" i="7"/>
  <c r="L109" i="7"/>
  <c r="L97" i="7"/>
  <c r="L71" i="7"/>
  <c r="L60" i="7"/>
  <c r="L53" i="7"/>
  <c r="L43" i="7"/>
  <c r="O1" i="3"/>
  <c r="M1" i="3"/>
  <c r="M1" i="4"/>
  <c r="O1" i="4"/>
  <c r="F502" i="4"/>
  <c r="F483" i="4"/>
  <c r="F464" i="4"/>
  <c r="F445" i="4"/>
  <c r="F305" i="4"/>
  <c r="F286" i="4"/>
  <c r="F267" i="4"/>
  <c r="F248" i="4"/>
  <c r="F229" i="4"/>
  <c r="F210" i="4"/>
  <c r="F191" i="4"/>
  <c r="F172" i="4"/>
  <c r="F153" i="4"/>
  <c r="F134" i="4"/>
  <c r="F522" i="4"/>
  <c r="F510" i="4"/>
  <c r="F490" i="4"/>
  <c r="F471" i="4"/>
  <c r="F453" i="4"/>
  <c r="F435" i="4"/>
  <c r="F316" i="4"/>
  <c r="F293" i="4"/>
  <c r="F274" i="4"/>
  <c r="F255" i="4"/>
  <c r="F236" i="4"/>
  <c r="F217" i="4"/>
  <c r="F198" i="4"/>
  <c r="F179" i="4"/>
  <c r="F160" i="4"/>
  <c r="F142" i="4"/>
  <c r="F124" i="4"/>
  <c r="F5" i="4"/>
</calcChain>
</file>

<file path=xl/sharedStrings.xml><?xml version="1.0" encoding="utf-8"?>
<sst xmlns="http://schemas.openxmlformats.org/spreadsheetml/2006/main" count="6948" uniqueCount="1000">
  <si>
    <t xml:space="preserve">Project Name :- </t>
  </si>
  <si>
    <t>Front Accounting ERP</t>
  </si>
  <si>
    <t xml:space="preserve">Link :- </t>
  </si>
  <si>
    <t>https://quastechproject.com/projects/frontaccounting/index.php</t>
  </si>
  <si>
    <t xml:space="preserve">Description:- </t>
  </si>
  <si>
    <t>FrontAccounting is a web-based open-source ERP application used by small and medium-sized businesses to manage their day-to-day business operations from a single system. It helps organizations manage Sales, Purchases, Inventory, Accounting, Banking, Customers, Suppliers, and Financial Reports.</t>
  </si>
  <si>
    <t xml:space="preserve">Modules:- </t>
  </si>
  <si>
    <t xml:space="preserve">Sales </t>
  </si>
  <si>
    <t>Sub Modules</t>
  </si>
  <si>
    <t>Sales Quotation Entry</t>
  </si>
  <si>
    <t>Sales Order Entry</t>
  </si>
  <si>
    <t>Delievery Against Sales order</t>
  </si>
  <si>
    <t>Invoice against delievery</t>
  </si>
  <si>
    <t>Customer Payment Entry</t>
  </si>
  <si>
    <t xml:space="preserve">Login , Sales , Purchase , Items &amp; Inventory </t>
  </si>
  <si>
    <t>TS_ID</t>
  </si>
  <si>
    <t>TS_Name</t>
  </si>
  <si>
    <t>TS_Objective</t>
  </si>
  <si>
    <t>Pre Conditions</t>
  </si>
  <si>
    <t>Test Conditions</t>
  </si>
  <si>
    <t>TS_01</t>
  </si>
  <si>
    <t xml:space="preserve">Login </t>
  </si>
  <si>
    <t>Availability of Login page and basic testing environments</t>
  </si>
  <si>
    <r>
      <t>Test Cases</t>
    </r>
    <r>
      <rPr>
        <b/>
        <i/>
        <sz val="11.5"/>
        <color theme="1"/>
        <rFont val="Cambria"/>
        <family val="1"/>
      </rPr>
      <t xml:space="preserve"> (Login)</t>
    </r>
  </si>
  <si>
    <t>TC_ID</t>
  </si>
  <si>
    <t>TC_Objective</t>
  </si>
  <si>
    <t xml:space="preserve">Step ID </t>
  </si>
  <si>
    <t>Step Description</t>
  </si>
  <si>
    <t>Input Data</t>
  </si>
  <si>
    <t>Expected Result</t>
  </si>
  <si>
    <t>Actual Result</t>
  </si>
  <si>
    <t>Status</t>
  </si>
  <si>
    <t>Remark</t>
  </si>
  <si>
    <t>TC_01</t>
  </si>
  <si>
    <t xml:space="preserve">Enter Valid UserName </t>
  </si>
  <si>
    <t>fauser14</t>
  </si>
  <si>
    <t>Entered inputs is displayed</t>
  </si>
  <si>
    <t>Pass</t>
  </si>
  <si>
    <t xml:space="preserve">Enter Valid Password </t>
  </si>
  <si>
    <t xml:space="preserve">Select valid company name from list </t>
  </si>
  <si>
    <t xml:space="preserve">Quastech -Thane </t>
  </si>
  <si>
    <t>Selected company name is displayed</t>
  </si>
  <si>
    <t xml:space="preserve">Click on Login Button </t>
  </si>
  <si>
    <t>--</t>
  </si>
  <si>
    <t xml:space="preserve">Login should be successful by displaying Menu page </t>
  </si>
  <si>
    <t xml:space="preserve">Login is successful with the display of Menu Page </t>
  </si>
  <si>
    <t xml:space="preserve">Click on Logout Button </t>
  </si>
  <si>
    <t>TC_02</t>
  </si>
  <si>
    <t xml:space="preserve">Enter Invalid UserName </t>
  </si>
  <si>
    <t>aryan3725</t>
  </si>
  <si>
    <t xml:space="preserve">Quastech -Borivali </t>
  </si>
  <si>
    <t>Login should be prohibited for invalid credentials</t>
  </si>
  <si>
    <t>Login is prohibited</t>
  </si>
  <si>
    <t>TC_03</t>
  </si>
  <si>
    <t xml:space="preserve">Enter Invalid Password </t>
  </si>
  <si>
    <t xml:space="preserve">Quastech -Mohali </t>
  </si>
  <si>
    <t>TC_04</t>
  </si>
  <si>
    <t>aryan2005</t>
  </si>
  <si>
    <t xml:space="preserve">Quastech  </t>
  </si>
  <si>
    <t>TC_05</t>
  </si>
  <si>
    <t>TC_06</t>
  </si>
  <si>
    <t>To validate login functionality by pasting password .</t>
  </si>
  <si>
    <t xml:space="preserve">Paste the Copied valid password </t>
  </si>
  <si>
    <t>Pasting in Password field must be prohibited</t>
  </si>
  <si>
    <t xml:space="preserve">Pasting is allowed </t>
  </si>
  <si>
    <t xml:space="preserve">Fail </t>
  </si>
  <si>
    <t xml:space="preserve">Login should be prohibited for pasted password </t>
  </si>
  <si>
    <t>Test Scenario</t>
  </si>
  <si>
    <t>TS_02</t>
  </si>
  <si>
    <t>Place Quotation</t>
  </si>
  <si>
    <t>Availability of Sales Quotation page with correct login credentials and testing environments</t>
  </si>
  <si>
    <t>TS_03</t>
  </si>
  <si>
    <t xml:space="preserve">Cancel Quotation </t>
  </si>
  <si>
    <r>
      <t>Test Cases</t>
    </r>
    <r>
      <rPr>
        <b/>
        <i/>
        <sz val="11.5"/>
        <color theme="1"/>
        <rFont val="Cambria"/>
        <family val="1"/>
      </rPr>
      <t xml:space="preserve"> (Sales)</t>
    </r>
  </si>
  <si>
    <t>TC_07</t>
  </si>
  <si>
    <t>Select Customer from dropdown</t>
  </si>
  <si>
    <t xml:space="preserve">Select Branch </t>
  </si>
  <si>
    <t xml:space="preserve">Add valid reference number </t>
  </si>
  <si>
    <t xml:space="preserve">Choose payment method </t>
  </si>
  <si>
    <t xml:space="preserve">Choose price list </t>
  </si>
  <si>
    <t xml:space="preserve">Add valid quotation date </t>
  </si>
  <si>
    <t xml:space="preserve">Select product from list </t>
  </si>
  <si>
    <t xml:space="preserve">Add quantity </t>
  </si>
  <si>
    <t xml:space="preserve">Click on Add item </t>
  </si>
  <si>
    <t xml:space="preserve">Add valid expiry date </t>
  </si>
  <si>
    <t>Write Delievery to person name</t>
  </si>
  <si>
    <t>Add valid delievery address</t>
  </si>
  <si>
    <t xml:space="preserve">Add valid contact number </t>
  </si>
  <si>
    <t xml:space="preserve">Choose delivery from location </t>
  </si>
  <si>
    <t xml:space="preserve">Choose Shipping company </t>
  </si>
  <si>
    <t xml:space="preserve">Click on Place Quotation </t>
  </si>
  <si>
    <t xml:space="preserve">Aspire Intl. </t>
  </si>
  <si>
    <t>5253165062/2026</t>
  </si>
  <si>
    <t xml:space="preserve">Due 15th of the Following month </t>
  </si>
  <si>
    <t xml:space="preserve">Retail </t>
  </si>
  <si>
    <t>09/27/2026</t>
  </si>
  <si>
    <t>iPhone 6 64GB</t>
  </si>
  <si>
    <t>Default</t>
  </si>
  <si>
    <t>Aspire International</t>
  </si>
  <si>
    <t xml:space="preserve">Goa </t>
  </si>
  <si>
    <t>International Shipping Line</t>
  </si>
  <si>
    <t xml:space="preserve">Option must be selected and display </t>
  </si>
  <si>
    <t>Items should get add</t>
  </si>
  <si>
    <t xml:space="preserve">Quotation should get placed </t>
  </si>
  <si>
    <t>Selected customer is displayed</t>
  </si>
  <si>
    <t>Selected branch is displayed</t>
  </si>
  <si>
    <t>Selected product is displayed</t>
  </si>
  <si>
    <t>Entered reference number is displayed</t>
  </si>
  <si>
    <t>Selected payment method is displayed</t>
  </si>
  <si>
    <t>Selected shipping company is displayed</t>
  </si>
  <si>
    <t>Entered date is displayed</t>
  </si>
  <si>
    <t>Entered quantity is displayed</t>
  </si>
  <si>
    <t>Entered location is displayed</t>
  </si>
  <si>
    <t>Items got added</t>
  </si>
  <si>
    <t>Entered name is displayed</t>
  </si>
  <si>
    <t>Entered contact is displayed</t>
  </si>
  <si>
    <t>Quotation got placed</t>
  </si>
  <si>
    <t>TC_08</t>
  </si>
  <si>
    <t>Donal Easter</t>
  </si>
  <si>
    <t xml:space="preserve"> Donal Easter LLC </t>
  </si>
  <si>
    <t>Dubai</t>
  </si>
  <si>
    <t>DTDC</t>
  </si>
  <si>
    <t xml:space="preserve">Payment due within 10 days </t>
  </si>
  <si>
    <t>52531359822/2026</t>
  </si>
  <si>
    <t xml:space="preserve">Quotation should not get placed </t>
  </si>
  <si>
    <t>Quotation didn’t got placed</t>
  </si>
  <si>
    <t>TC_09</t>
  </si>
  <si>
    <t>Los Angeles, USA</t>
  </si>
  <si>
    <t>Money Maker EUR</t>
  </si>
  <si>
    <t>Money Maker LLC</t>
  </si>
  <si>
    <t xml:space="preserve">Sprinters Express Carriers </t>
  </si>
  <si>
    <t xml:space="preserve">Due By end of the month </t>
  </si>
  <si>
    <t xml:space="preserve">Wholesale </t>
  </si>
  <si>
    <t>525312062/2026</t>
  </si>
  <si>
    <t>224345/2026</t>
  </si>
  <si>
    <t>Acer Laptop i7</t>
  </si>
  <si>
    <t xml:space="preserve">Thane Station Warehouse </t>
  </si>
  <si>
    <t>TC_10</t>
  </si>
  <si>
    <t>TC_11</t>
  </si>
  <si>
    <t>TanishQ Entrp</t>
  </si>
  <si>
    <t>5666898/2026</t>
  </si>
  <si>
    <t>Wholesale</t>
  </si>
  <si>
    <t>TanishQ Entrperises</t>
  </si>
  <si>
    <t>Chennai</t>
  </si>
  <si>
    <t>Quick delievery transport company</t>
  </si>
  <si>
    <t xml:space="preserve">iPhone pack </t>
  </si>
  <si>
    <t xml:space="preserve">National Park -Big Mall Godown </t>
  </si>
  <si>
    <t>[09/01/2026,aadfhdkh,""]</t>
  </si>
  <si>
    <t>Quotation didn't got placed</t>
  </si>
  <si>
    <t>TC_12</t>
  </si>
  <si>
    <t>["",50006798,##$(&amp;(#@]</t>
  </si>
  <si>
    <t>TC_13</t>
  </si>
  <si>
    <t>52531657882/2026</t>
  </si>
  <si>
    <t>Donald Easter</t>
  </si>
  <si>
    <t xml:space="preserve">Customers </t>
  </si>
  <si>
    <t xml:space="preserve">Payment </t>
  </si>
  <si>
    <t>Due 15th of the following month</t>
  </si>
  <si>
    <t>Due by end of the month</t>
  </si>
  <si>
    <t>Cash only</t>
  </si>
  <si>
    <t>Payment due within 10 days</t>
  </si>
  <si>
    <t xml:space="preserve">Prepaid </t>
  </si>
  <si>
    <t>Product</t>
  </si>
  <si>
    <t>iPad Air 2 16GB</t>
  </si>
  <si>
    <t>iPhone cover case</t>
  </si>
  <si>
    <t>Keyboard- wireless</t>
  </si>
  <si>
    <t>Acer Laptop i7 gen-5</t>
  </si>
  <si>
    <t>Boat Earphones</t>
  </si>
  <si>
    <t>iPhone pack</t>
  </si>
  <si>
    <t>AP surf net</t>
  </si>
  <si>
    <t>Maintainence</t>
  </si>
  <si>
    <t xml:space="preserve">Support </t>
  </si>
  <si>
    <t xml:space="preserve">Deliver from </t>
  </si>
  <si>
    <t>Bandra Kurla complex godown</t>
  </si>
  <si>
    <t>Goregaon west link road safehouse</t>
  </si>
  <si>
    <t xml:space="preserve">National park big mall godown </t>
  </si>
  <si>
    <t>Thane station warehouse</t>
  </si>
  <si>
    <t xml:space="preserve">Shipping </t>
  </si>
  <si>
    <t>Sprinter Express Carriers</t>
  </si>
  <si>
    <t>Quick Delievery Transport Company</t>
  </si>
  <si>
    <t>TC_14</t>
  </si>
  <si>
    <t>555970/2026</t>
  </si>
  <si>
    <t>[0,"faljfl","","#$#("]</t>
  </si>
  <si>
    <t>Fail</t>
  </si>
  <si>
    <t>TC_15</t>
  </si>
  <si>
    <t>["",56568979798098079,"dfdfjj$#$"]4]</t>
  </si>
  <si>
    <t>2545452/2026</t>
  </si>
  <si>
    <t xml:space="preserve">Edit Default price </t>
  </si>
  <si>
    <t>[0,"",-500,6006578,"fldjf$$%]</t>
  </si>
  <si>
    <t xml:space="preserve">Price should not be editable </t>
  </si>
  <si>
    <t xml:space="preserve">Price got edited </t>
  </si>
  <si>
    <t>Vanice , Italy</t>
  </si>
  <si>
    <t>TC_16</t>
  </si>
  <si>
    <t xml:space="preserve">Antartica </t>
  </si>
  <si>
    <t xml:space="preserve">Add Delievery Charges </t>
  </si>
  <si>
    <t>["",45,"dlfkjas",-268]</t>
  </si>
  <si>
    <t xml:space="preserve">Click on Update </t>
  </si>
  <si>
    <t xml:space="preserve">Invalid calculation Is done </t>
  </si>
  <si>
    <t>02/20/2015</t>
  </si>
  <si>
    <t>Longer Past date should not get accepted</t>
  </si>
  <si>
    <t>TC_17</t>
  </si>
  <si>
    <t>TC_18</t>
  </si>
  <si>
    <t xml:space="preserve">Add invalid quotation date </t>
  </si>
  <si>
    <t>Valid Calculation is done</t>
  </si>
  <si>
    <t xml:space="preserve">Valid Calculation is done </t>
  </si>
  <si>
    <t xml:space="preserve">Quotation should  get placed </t>
  </si>
  <si>
    <t>Artic</t>
  </si>
  <si>
    <t>TC_19</t>
  </si>
  <si>
    <t>London</t>
  </si>
  <si>
    <t>TC_20</t>
  </si>
  <si>
    <t>New York , USA</t>
  </si>
  <si>
    <t>TC_21</t>
  </si>
  <si>
    <t>Bhutan</t>
  </si>
  <si>
    <t>TC_22</t>
  </si>
  <si>
    <t>Tokyo , Japan</t>
  </si>
  <si>
    <t>TC_23</t>
  </si>
  <si>
    <t xml:space="preserve">Click on Cancel Quotation </t>
  </si>
  <si>
    <t>Quotation should get cleared</t>
  </si>
  <si>
    <t>Quotation got cleared</t>
  </si>
  <si>
    <t>989790/2026</t>
  </si>
  <si>
    <t>TC_24</t>
  </si>
  <si>
    <t>Session must be aborted and Logout message must be display</t>
  </si>
  <si>
    <t xml:space="preserve">Logout message was displayed </t>
  </si>
  <si>
    <t>Entered username must be display</t>
  </si>
  <si>
    <t>Entered password must be display</t>
  </si>
  <si>
    <t>Availability of Sales order page with correct login credentials and testing environments</t>
  </si>
  <si>
    <t xml:space="preserve">Add valid order date </t>
  </si>
  <si>
    <t xml:space="preserve">Click on Place order </t>
  </si>
  <si>
    <t xml:space="preserve">order should get placed </t>
  </si>
  <si>
    <t>order got placed</t>
  </si>
  <si>
    <t xml:space="preserve">order should not get placed </t>
  </si>
  <si>
    <t>order didn’t got placed</t>
  </si>
  <si>
    <t>order didn't got placed</t>
  </si>
  <si>
    <t xml:space="preserve">Add invalid order date </t>
  </si>
  <si>
    <t xml:space="preserve">Click on Cancel order </t>
  </si>
  <si>
    <t>order should get cleared</t>
  </si>
  <si>
    <t>order got cleared</t>
  </si>
  <si>
    <t>TC_25</t>
  </si>
  <si>
    <t>TC_26</t>
  </si>
  <si>
    <t>TC_27</t>
  </si>
  <si>
    <t>TC_28</t>
  </si>
  <si>
    <t>TC_29</t>
  </si>
  <si>
    <t>TC_30</t>
  </si>
  <si>
    <t>TC_31</t>
  </si>
  <si>
    <t>TC_32</t>
  </si>
  <si>
    <t>TC_33</t>
  </si>
  <si>
    <t>TC_34</t>
  </si>
  <si>
    <t>TC_35</t>
  </si>
  <si>
    <t>TC_36</t>
  </si>
  <si>
    <t>TC_37</t>
  </si>
  <si>
    <t xml:space="preserve">Aspire Intl  </t>
  </si>
  <si>
    <t>TS_04</t>
  </si>
  <si>
    <t>TS_05</t>
  </si>
  <si>
    <t>Place Order</t>
  </si>
  <si>
    <t>Availability of Sales Order page with correct login credentials and testing environments</t>
  </si>
  <si>
    <t xml:space="preserve">Cancel Order </t>
  </si>
  <si>
    <t>TS_06</t>
  </si>
  <si>
    <t>Update</t>
  </si>
  <si>
    <t xml:space="preserve">Availability of Delivery item page , Pending Order and correct login credentials </t>
  </si>
  <si>
    <t>TS_07</t>
  </si>
  <si>
    <t>Clear Quantity</t>
  </si>
  <si>
    <t>TS_08</t>
  </si>
  <si>
    <t xml:space="preserve">Process Dispatch </t>
  </si>
  <si>
    <t xml:space="preserve">Delievery Against Order </t>
  </si>
  <si>
    <t>TC_38</t>
  </si>
  <si>
    <t>Availability of Deliver items page with correct login credentials existing pending orders</t>
  </si>
  <si>
    <t xml:space="preserve">Select Delivery From Location </t>
  </si>
  <si>
    <t>Change Reference if needed</t>
  </si>
  <si>
    <t>---</t>
  </si>
  <si>
    <t xml:space="preserve">Select Shipping Company </t>
  </si>
  <si>
    <t>Shipping 2</t>
  </si>
  <si>
    <t>DTDC Goods Carrier</t>
  </si>
  <si>
    <t>Shree Sai Logistics</t>
  </si>
  <si>
    <t>Speed Delivery Transport Company</t>
  </si>
  <si>
    <t>Sprint Express International</t>
  </si>
  <si>
    <t>The Great Eastern Shipping Company</t>
  </si>
  <si>
    <t>Date</t>
  </si>
  <si>
    <t>Invoice Deadline</t>
  </si>
  <si>
    <t>Enter number of items to deliver</t>
  </si>
  <si>
    <t>Click on update</t>
  </si>
  <si>
    <t>Correct Amount should get calculated</t>
  </si>
  <si>
    <t>Selected location is displayed</t>
  </si>
  <si>
    <t>Order reference number is autofilled</t>
  </si>
  <si>
    <t>Selected Company is displayed</t>
  </si>
  <si>
    <t>Ordered date is autofilled</t>
  </si>
  <si>
    <t>Deadline is editable and got displayed</t>
  </si>
  <si>
    <t>Entered data got displayed</t>
  </si>
  <si>
    <t>Correct final amount got calculated</t>
  </si>
  <si>
    <t>TC_39</t>
  </si>
  <si>
    <t>['asdflaksdj',' ' ,-200]</t>
  </si>
  <si>
    <t>Error message got displayed</t>
  </si>
  <si>
    <t>Amount should not get calculated</t>
  </si>
  <si>
    <t>TC_40</t>
  </si>
  <si>
    <t>Enter shipping charges</t>
  </si>
  <si>
    <t>['@#$lkdflka',' ' ,-509]</t>
  </si>
  <si>
    <t>Error message should be display</t>
  </si>
  <si>
    <t>Choose Action for Balance</t>
  </si>
  <si>
    <t>Automatically put balance on back order</t>
  </si>
  <si>
    <t>Selected option got dispalyed</t>
  </si>
  <si>
    <t>Click on Clear Quantity</t>
  </si>
  <si>
    <t>----</t>
  </si>
  <si>
    <t>All data got cleared</t>
  </si>
  <si>
    <t>All data should get clear</t>
  </si>
  <si>
    <t>TC_41</t>
  </si>
  <si>
    <t xml:space="preserve">Click on Clear Quantity </t>
  </si>
  <si>
    <t>Data should get cleared</t>
  </si>
  <si>
    <t>Data got cleared</t>
  </si>
  <si>
    <t>TC_43</t>
  </si>
  <si>
    <t>TC_42</t>
  </si>
  <si>
    <t>[" ",'dlfja',50606,20-05-2056]</t>
  </si>
  <si>
    <t>Date should not get accepted and error message should get displayed</t>
  </si>
  <si>
    <t xml:space="preserve">Error message got displayed </t>
  </si>
  <si>
    <t xml:space="preserve">Click on Process Dispatch </t>
  </si>
  <si>
    <t>Form should not get accepted</t>
  </si>
  <si>
    <t>Form got rejected</t>
  </si>
  <si>
    <t>TC_44</t>
  </si>
  <si>
    <t>['dfhkad',324234,00000,26-10-2099,26-10-1999]</t>
  </si>
  <si>
    <t>Invalid data got accepted</t>
  </si>
  <si>
    <t>Faill</t>
  </si>
  <si>
    <t>Form got acccepted</t>
  </si>
  <si>
    <t>TC_45</t>
  </si>
  <si>
    <t>Form should get accepted</t>
  </si>
  <si>
    <t>Deadline data got displayed</t>
  </si>
  <si>
    <t>TC_46</t>
  </si>
  <si>
    <t>TC_47</t>
  </si>
  <si>
    <t xml:space="preserve">Cancel any quantities not delievered as Action </t>
  </si>
  <si>
    <t>TC_48</t>
  </si>
  <si>
    <t>Option should be selectable and display</t>
  </si>
  <si>
    <t>reference should be editable and display</t>
  </si>
  <si>
    <t>Date should be editable and display</t>
  </si>
  <si>
    <t>Quantity should be editable</t>
  </si>
  <si>
    <t>Entered data should be display</t>
  </si>
  <si>
    <t xml:space="preserve">Invalid Calculation should be prohiibited </t>
  </si>
  <si>
    <t>Valid Calculation should be display</t>
  </si>
  <si>
    <t>Same reference from orders should be display</t>
  </si>
  <si>
    <t xml:space="preserve">1. To verify login functionality with all valid inputs 
</t>
  </si>
  <si>
    <t xml:space="preserve">2. To verify login functionality with invalid username </t>
  </si>
  <si>
    <t xml:space="preserve">3. To verify login functionality with invalid password </t>
  </si>
  <si>
    <t>4. To verify login functionality with invalid inputs</t>
  </si>
  <si>
    <t>5. To verify login functinality with blank inputs</t>
  </si>
  <si>
    <t>6. To verify login functionality by pasting password</t>
  </si>
  <si>
    <t xml:space="preserve">1. To verify place quotation with all valid inputs . </t>
  </si>
  <si>
    <t xml:space="preserve">2. To verify pllace quotation with no items inputs . </t>
  </si>
  <si>
    <t>3. To verify place quotation with single valid item input.</t>
  </si>
  <si>
    <t>4. To verify place quotation with multiple valid item inputs.</t>
  </si>
  <si>
    <t xml:space="preserve">5. To verify place quotation with invalid expiry date        </t>
  </si>
  <si>
    <t xml:space="preserve">6. To verify place quotation with invalid delievery address </t>
  </si>
  <si>
    <t>7. To verify place quotation with invalid phone number.</t>
  </si>
  <si>
    <t xml:space="preserve">8. To verify place quotation with invalid quantity </t>
  </si>
  <si>
    <t xml:space="preserve">9. To verify place quotation with invalid price.  </t>
  </si>
  <si>
    <t>10. To verify place quotation with invalid shipping charges</t>
  </si>
  <si>
    <t xml:space="preserve">11. To verify place quotation with cash payment as method.  </t>
  </si>
  <si>
    <t xml:space="preserve">12. To verify place quotation with payment method as due 15th of the following month . </t>
  </si>
  <si>
    <t xml:space="preserve">13. To verify place quotation with payment method as due by end of the following month. </t>
  </si>
  <si>
    <t>14. To verify place quotation with payment method as prepaid .</t>
  </si>
  <si>
    <t xml:space="preserve">15. To verify place quotation with payment method as payment due within 10 days. </t>
  </si>
  <si>
    <t xml:space="preserve">16. To verify place quotation with invalid quotation date </t>
  </si>
  <si>
    <t xml:space="preserve">1. To verify cancel quotation having all inputs in the quotation form . </t>
  </si>
  <si>
    <t xml:space="preserve">2. To verify cancel quotation for an empty quotation form . </t>
  </si>
  <si>
    <t xml:space="preserve">1. To verify place order with all valid inputs . </t>
  </si>
  <si>
    <t xml:space="preserve">2. To verify pllace order with no items inputs . </t>
  </si>
  <si>
    <t>3. To verify place order with single valid item input.</t>
  </si>
  <si>
    <t>4. To verify place order with multiple valid item inputs.</t>
  </si>
  <si>
    <t xml:space="preserve">5. To verify place order with invalid expiry date        </t>
  </si>
  <si>
    <t xml:space="preserve">6. To verify place order with invalid delievery address </t>
  </si>
  <si>
    <t>7. To verify place order with invalid phone number.</t>
  </si>
  <si>
    <t xml:space="preserve">8. To verify place order with invalid quantity </t>
  </si>
  <si>
    <t xml:space="preserve">9. To verify place order with invalid price.  </t>
  </si>
  <si>
    <t>10. To verify place order with invalid shipping charges</t>
  </si>
  <si>
    <t xml:space="preserve">1. To verify cancel order having all inputs in the order form . </t>
  </si>
  <si>
    <t xml:space="preserve">2. To verify cancel order for an empty order form . </t>
  </si>
  <si>
    <t xml:space="preserve">2. To verify update functionality by keeping the delievery items invalid </t>
  </si>
  <si>
    <t xml:space="preserve">3. To verify update functionality by keeping the shipping cost invalid </t>
  </si>
  <si>
    <t xml:space="preserve">1. To verify clear quantity having all inputs in the form </t>
  </si>
  <si>
    <t>2. To verify clear quantity by keeping form empty</t>
  </si>
  <si>
    <t xml:space="preserve">1. To verify process dispatch with invalid date. </t>
  </si>
  <si>
    <t>2. To verify process dispatch with invalid invoice dead-line</t>
  </si>
  <si>
    <t xml:space="preserve">4. To verify process dispatch with Automatically puts balance as Action </t>
  </si>
  <si>
    <t xml:space="preserve">5. To verify process dipatch with Cancel any quantities not delievered as Action </t>
  </si>
  <si>
    <t xml:space="preserve">Invoice Against Delivery </t>
  </si>
  <si>
    <t>TS_09</t>
  </si>
  <si>
    <t>Availability of Invoice page , successful delievered items and correct login credentials</t>
  </si>
  <si>
    <t>TS_10</t>
  </si>
  <si>
    <t>Process Invoice</t>
  </si>
  <si>
    <t>2. To verify process invoice with invalid items description</t>
  </si>
  <si>
    <t>TC_49</t>
  </si>
  <si>
    <t>Entered date should be displayed</t>
  </si>
  <si>
    <t>Entered date got displayed</t>
  </si>
  <si>
    <t>Due Date</t>
  </si>
  <si>
    <t>10-17-2026</t>
  </si>
  <si>
    <t xml:space="preserve">Select Payment terms </t>
  </si>
  <si>
    <t xml:space="preserve">Selected option got displayed </t>
  </si>
  <si>
    <t>Add this invoice qty</t>
  </si>
  <si>
    <t>Entered data should be displayed</t>
  </si>
  <si>
    <t>pass</t>
  </si>
  <si>
    <t xml:space="preserve">Add shippping cost </t>
  </si>
  <si>
    <t xml:space="preserve">Correct calculation should get done </t>
  </si>
  <si>
    <t>TC_50</t>
  </si>
  <si>
    <t>[asdlkfj,"",-3,0]</t>
  </si>
  <si>
    <t xml:space="preserve">2. To verify update functionality by keeping the shipping cost invalid </t>
  </si>
  <si>
    <t xml:space="preserve">3. To verify process invoice with invalid due date </t>
  </si>
  <si>
    <t xml:space="preserve">4. To verify process invoice with invalid This invoice quantity </t>
  </si>
  <si>
    <t xml:space="preserve">Error should get throw for invalid input </t>
  </si>
  <si>
    <t>Error got throw</t>
  </si>
  <si>
    <t>TC_51</t>
  </si>
  <si>
    <t>Click on Process Invoice</t>
  </si>
  <si>
    <t xml:space="preserve">Invoice should get placed </t>
  </si>
  <si>
    <t>Invoice got placed</t>
  </si>
  <si>
    <t>11-30-2026</t>
  </si>
  <si>
    <t>Edit items description</t>
  </si>
  <si>
    <t>[" ",32u230,"ldjfak"]</t>
  </si>
  <si>
    <t xml:space="preserve">Field should note be editable </t>
  </si>
  <si>
    <t xml:space="preserve">Field got edited </t>
  </si>
  <si>
    <t xml:space="preserve">Invoice should not get placed </t>
  </si>
  <si>
    <t>TC_52</t>
  </si>
  <si>
    <t>TC_53</t>
  </si>
  <si>
    <t>[07-30-2005,02-25-2050,"",asdflkj]</t>
  </si>
  <si>
    <t>Invalid date should not get accepted considering current time</t>
  </si>
  <si>
    <t>Invalid date got accepted</t>
  </si>
  <si>
    <t>TC_55</t>
  </si>
  <si>
    <t>TC_54</t>
  </si>
  <si>
    <t>[0,"",sadfsd,-50]</t>
  </si>
  <si>
    <t>Invalid quantity should not get accepted</t>
  </si>
  <si>
    <t>Quantity 0 got accepted</t>
  </si>
  <si>
    <t xml:space="preserve">11. To verify place order with invalid order date </t>
  </si>
  <si>
    <t>Customers Payment</t>
  </si>
  <si>
    <t>TS_11</t>
  </si>
  <si>
    <t>Add Payment</t>
  </si>
  <si>
    <t>Availability of active pending invoices and correct login credentials</t>
  </si>
  <si>
    <t xml:space="preserve">3. To verify add payment with invalid date of deposit </t>
  </si>
  <si>
    <t>4. To verify add payment with invalid amount of discount</t>
  </si>
  <si>
    <t xml:space="preserve">6. To verify add payment by keeping final amount lesser than this allocation amount </t>
  </si>
  <si>
    <t xml:space="preserve">5. To verify add payment by keeping final amount greater than this allocation amount </t>
  </si>
  <si>
    <t>Sales</t>
  </si>
  <si>
    <t>Change Reference</t>
  </si>
  <si>
    <t>8. To verify add payment with multiple invoices to allocate</t>
  </si>
  <si>
    <t>7. To verify add payment with single invoice amount to allocate</t>
  </si>
  <si>
    <t>9. To verify add payment with no invoice amount got allocated.</t>
  </si>
  <si>
    <t xml:space="preserve">Add discount amount </t>
  </si>
  <si>
    <t>Add this allocation amount</t>
  </si>
  <si>
    <t xml:space="preserve">verify final amount </t>
  </si>
  <si>
    <t xml:space="preserve">Click on Add Payment </t>
  </si>
  <si>
    <t>Select Date of Deposit</t>
  </si>
  <si>
    <t xml:space="preserve">Select Customer </t>
  </si>
  <si>
    <t>63556/2026</t>
  </si>
  <si>
    <t>Options should be selectable and display</t>
  </si>
  <si>
    <t>Entered discount should be displayed</t>
  </si>
  <si>
    <t xml:space="preserve">Entered date got displayed </t>
  </si>
  <si>
    <t>Entered amount should be displayed</t>
  </si>
  <si>
    <t>Entered amount got displayed</t>
  </si>
  <si>
    <t>Calculation should be correct</t>
  </si>
  <si>
    <t xml:space="preserve">Correct final amount got displayed </t>
  </si>
  <si>
    <t xml:space="preserve">Payment should get accepted </t>
  </si>
  <si>
    <t>Payment got accepted</t>
  </si>
  <si>
    <t>2. To verify add payment with valid and invaild bank charges</t>
  </si>
  <si>
    <t>Enter bank charges</t>
  </si>
  <si>
    <t>[500,-20,ghdg,""]</t>
  </si>
  <si>
    <t>Final calculation ignores the bank charges</t>
  </si>
  <si>
    <t>fail</t>
  </si>
  <si>
    <t xml:space="preserve">Payment should not get accepted </t>
  </si>
  <si>
    <t>TC_56</t>
  </si>
  <si>
    <t>[10-05-2055,"",dlsfkjsda,32423]</t>
  </si>
  <si>
    <t xml:space="preserve">Entered invalid should get an error </t>
  </si>
  <si>
    <t>Payment didn't get accepted and error message got displayed</t>
  </si>
  <si>
    <t>TC_57</t>
  </si>
  <si>
    <t>[-34,dsfads,"",@$#]</t>
  </si>
  <si>
    <t>Entered invaild should show error message</t>
  </si>
  <si>
    <t>Entered invalid amount replaced with zero except negative value</t>
  </si>
  <si>
    <t>TC_58</t>
  </si>
  <si>
    <t>Edit final amount</t>
  </si>
  <si>
    <t>Invalid calculation has been showed</t>
  </si>
  <si>
    <t xml:space="preserve">Payment should not  get accepted </t>
  </si>
  <si>
    <t>TC_59</t>
  </si>
  <si>
    <t>546546/2026</t>
  </si>
  <si>
    <t>Final amount got edited</t>
  </si>
  <si>
    <t>Payment didn’t get accepted with invalid error message</t>
  </si>
  <si>
    <t>TC_60</t>
  </si>
  <si>
    <t>TC_61</t>
  </si>
  <si>
    <t xml:space="preserve">Add another this allocation amount </t>
  </si>
  <si>
    <t>TC_62</t>
  </si>
  <si>
    <t>Payment didn't got accepted</t>
  </si>
  <si>
    <t>Purchase</t>
  </si>
  <si>
    <t>TS_12</t>
  </si>
  <si>
    <t>Purchase Order Entry</t>
  </si>
  <si>
    <t xml:space="preserve">Outstanding Purchase Orders Maintainenance </t>
  </si>
  <si>
    <t>Suppliers Invoice</t>
  </si>
  <si>
    <t>Payments to Suppliers</t>
  </si>
  <si>
    <t>Suppliers</t>
  </si>
  <si>
    <t>Beefeater - GBP</t>
  </si>
  <si>
    <t>Dino Saurius</t>
  </si>
  <si>
    <t>Northern Lights Intrl</t>
  </si>
  <si>
    <t>Vasco Da Gama Ent.</t>
  </si>
  <si>
    <t>Availability of purchase order entry page and correct login credentials</t>
  </si>
  <si>
    <t>2. To verify place order with invalid order date .</t>
  </si>
  <si>
    <t>5. To verify place order with no item input.</t>
  </si>
  <si>
    <t>6. To verify place order with invalid required delivery date</t>
  </si>
  <si>
    <t xml:space="preserve">7. To verify place order with invalid quantity </t>
  </si>
  <si>
    <t>8. To verify place order with invalid price before tax</t>
  </si>
  <si>
    <t>9. To verify place order with Deliver to address</t>
  </si>
  <si>
    <t xml:space="preserve">10. To verify place order with invalid reference </t>
  </si>
  <si>
    <t>TS_13</t>
  </si>
  <si>
    <t>1. To verify cancel order with all inputs filled.</t>
  </si>
  <si>
    <t>2. To verify cancel order with no input in the form.</t>
  </si>
  <si>
    <t>TC_63</t>
  </si>
  <si>
    <t xml:space="preserve">Select Supplier from the dropdown </t>
  </si>
  <si>
    <t>Selected supplier is displayed</t>
  </si>
  <si>
    <t xml:space="preserve">Enter Reference </t>
  </si>
  <si>
    <t>8369979/2026</t>
  </si>
  <si>
    <t>Entered reference shoud display</t>
  </si>
  <si>
    <t>Entered date should display</t>
  </si>
  <si>
    <t>Entered reference got displayed</t>
  </si>
  <si>
    <t xml:space="preserve">Select Receive into from the dropdown </t>
  </si>
  <si>
    <t>Selected godown got displayed</t>
  </si>
  <si>
    <t>Enter Deliver to address if required</t>
  </si>
  <si>
    <t>Address should get updated according to Receive into option</t>
  </si>
  <si>
    <t xml:space="preserve">Address got updated </t>
  </si>
  <si>
    <t xml:space="preserve">Select an item from dropdown </t>
  </si>
  <si>
    <t>Selected item got displayed</t>
  </si>
  <si>
    <t>Entered data should display</t>
  </si>
  <si>
    <t>Enter quantity</t>
  </si>
  <si>
    <t>Enter price after tax</t>
  </si>
  <si>
    <t xml:space="preserve">Click on Place Order </t>
  </si>
  <si>
    <t>Order should get placed</t>
  </si>
  <si>
    <t>Order got accepted</t>
  </si>
  <si>
    <t>TC_64</t>
  </si>
  <si>
    <t>[asdf',4235,05-20-2066,12-05-1980]</t>
  </si>
  <si>
    <t>Entered date should display with error message</t>
  </si>
  <si>
    <t>data got displayed without error</t>
  </si>
  <si>
    <t>Order should not get placed</t>
  </si>
  <si>
    <t>TC_65</t>
  </si>
  <si>
    <t>TC_66</t>
  </si>
  <si>
    <t>TC_67</t>
  </si>
  <si>
    <t xml:space="preserve">Place order is not visible </t>
  </si>
  <si>
    <t>TC_68</t>
  </si>
  <si>
    <t>Entere Required delivery date</t>
  </si>
  <si>
    <t>10-21-2026</t>
  </si>
  <si>
    <t>['df',34,10-09-2035,05-02-1870]</t>
  </si>
  <si>
    <t>Entered data should display with error message</t>
  </si>
  <si>
    <t>date got displayed without message</t>
  </si>
  <si>
    <t>TC_69</t>
  </si>
  <si>
    <t>[fd,-1,0," "]</t>
  </si>
  <si>
    <t>0 quantity is acceptable</t>
  </si>
  <si>
    <t>TC_70</t>
  </si>
  <si>
    <t>[0,44545477454,-8,gfalj]</t>
  </si>
  <si>
    <t>Invalid amount shouldn't get accepted</t>
  </si>
  <si>
    <t>0 and extreme amount got accepted</t>
  </si>
  <si>
    <t>TC_71</t>
  </si>
  <si>
    <t>[' '.dsf#@#-,568488]</t>
  </si>
  <si>
    <t xml:space="preserve">Entered data should display with error </t>
  </si>
  <si>
    <t>No error message has been shown</t>
  </si>
  <si>
    <t>TC_72</t>
  </si>
  <si>
    <t>['faldsflk',' ',324]</t>
  </si>
  <si>
    <t>Entered reference should display with error</t>
  </si>
  <si>
    <t>Order didn’t got accepted and shows error</t>
  </si>
  <si>
    <t>TC_73</t>
  </si>
  <si>
    <t xml:space="preserve">Click on Cancel Order </t>
  </si>
  <si>
    <t>Order should get clear</t>
  </si>
  <si>
    <t>Order got cleared</t>
  </si>
  <si>
    <t>TC_74</t>
  </si>
  <si>
    <t>Availability of purchase order page with correct login credentials and testing environments</t>
  </si>
  <si>
    <t>TS_14</t>
  </si>
  <si>
    <t>Process Receive items</t>
  </si>
  <si>
    <t>2. To verify process receive items with invalid date items received</t>
  </si>
  <si>
    <t>3. To verify process receive items by changing predined description</t>
  </si>
  <si>
    <t>TC_75</t>
  </si>
  <si>
    <t>Enter Reference</t>
  </si>
  <si>
    <t>4874897/2026</t>
  </si>
  <si>
    <t>Entered reference should display</t>
  </si>
  <si>
    <t>Selected Deliver into location from dropdown</t>
  </si>
  <si>
    <t>Selected godown got dispalyed</t>
  </si>
  <si>
    <t>Enter date items received</t>
  </si>
  <si>
    <t>Enter this delivery items</t>
  </si>
  <si>
    <t>Entered quantity should display</t>
  </si>
  <si>
    <t xml:space="preserve">Entered quantity got displayed </t>
  </si>
  <si>
    <t>Click on Process Receive Items</t>
  </si>
  <si>
    <t>Receive order form should get accepted</t>
  </si>
  <si>
    <t>Receive order form got accepted</t>
  </si>
  <si>
    <t>Receive Purchase Order Items</t>
  </si>
  <si>
    <t>Availability of page with pending order and data should get fetched</t>
  </si>
  <si>
    <t>TC_76</t>
  </si>
  <si>
    <t>[10-11-1980,ffg,8587,05-02-2055]</t>
  </si>
  <si>
    <t>Receive order form should not get accepted</t>
  </si>
  <si>
    <t>Receive order form got error msg</t>
  </si>
  <si>
    <t>TC_77</t>
  </si>
  <si>
    <t>Edit the items description</t>
  </si>
  <si>
    <t>[dsafl,3432," "]</t>
  </si>
  <si>
    <t xml:space="preserve">Items should not get edited </t>
  </si>
  <si>
    <t>Items description got edited</t>
  </si>
  <si>
    <t>TC_78</t>
  </si>
  <si>
    <t>[0,dfad,' ']</t>
  </si>
  <si>
    <t>Supplier's Invoice</t>
  </si>
  <si>
    <t>TS_15</t>
  </si>
  <si>
    <t>Enter Invoice</t>
  </si>
  <si>
    <t xml:space="preserve">Availability of page with valid delieverd orders </t>
  </si>
  <si>
    <t>1. To verify enter invoice with all valid inputs</t>
  </si>
  <si>
    <t>2. To verify enter invoice with invalid date</t>
  </si>
  <si>
    <t>3. To verify enter invoice with invalid supplier's reference</t>
  </si>
  <si>
    <t xml:space="preserve">4. To verify enter invoice with due date </t>
  </si>
  <si>
    <t>5. To verify enter invoice with invalid qty yet to invoice</t>
  </si>
  <si>
    <t>6. To verify enter invoice with invalid price before tax</t>
  </si>
  <si>
    <t>TC_79</t>
  </si>
  <si>
    <t>Enter Date</t>
  </si>
  <si>
    <t>Enter Ordered Date</t>
  </si>
  <si>
    <t xml:space="preserve">Enter Supplier's Reference </t>
  </si>
  <si>
    <t>Aryan@2005</t>
  </si>
  <si>
    <t>Enter Due date</t>
  </si>
  <si>
    <t>Enter Qty yet to invoice</t>
  </si>
  <si>
    <t>Enter price before tax</t>
  </si>
  <si>
    <t>Entered amount should display</t>
  </si>
  <si>
    <t>Entered amount got dispalyed</t>
  </si>
  <si>
    <t>Click on Enter Invoice</t>
  </si>
  <si>
    <t xml:space="preserve">Record get updated </t>
  </si>
  <si>
    <t>Invoice record got updated</t>
  </si>
  <si>
    <t>TC_80</t>
  </si>
  <si>
    <t>[sfs,45,' ',12-02-2010]</t>
  </si>
  <si>
    <t>Record should not get updated</t>
  </si>
  <si>
    <t>Invalid date didn't got accepted</t>
  </si>
  <si>
    <t>TC_81</t>
  </si>
  <si>
    <t>[dffssl,455,' ']</t>
  </si>
  <si>
    <t>Invaild reference didn't got accepted</t>
  </si>
  <si>
    <t>Enter Supplier's Reference</t>
  </si>
  <si>
    <t>supplier/2026</t>
  </si>
  <si>
    <t>TC_82</t>
  </si>
  <si>
    <t>[02-14-1972,05-10-2030,'dsf',34]</t>
  </si>
  <si>
    <t xml:space="preserve">Record should not get updated </t>
  </si>
  <si>
    <t>Record got updated</t>
  </si>
  <si>
    <t>Out of fical year date shouldn't get accepted</t>
  </si>
  <si>
    <t>Date got accepted</t>
  </si>
  <si>
    <t>TC_83</t>
  </si>
  <si>
    <t>[-2,2(less than actual),50(more than actual)</t>
  </si>
  <si>
    <t>Invalid quantity shouldn't get accepted</t>
  </si>
  <si>
    <t>TC_84</t>
  </si>
  <si>
    <t>[-20,3(less than actual),50000(more)</t>
  </si>
  <si>
    <t>Invaid amount shouldn't get accepted</t>
  </si>
  <si>
    <t>TS_16</t>
  </si>
  <si>
    <t xml:space="preserve">1. To verify process receive items with invalid this delievery </t>
  </si>
  <si>
    <t>4. To verify process receive items with invalid reference</t>
  </si>
  <si>
    <t>TS_17</t>
  </si>
  <si>
    <t>[-1,50000000000,fgte,'']</t>
  </si>
  <si>
    <t>Invalid inputs shouldn't get accepted</t>
  </si>
  <si>
    <t xml:space="preserve">Invalid inputs access denied </t>
  </si>
  <si>
    <t>update shouldn't get proceed and shows error message</t>
  </si>
  <si>
    <t>Converts invalid inputs to 0</t>
  </si>
  <si>
    <t>TC_85</t>
  </si>
  <si>
    <t>Click on Add</t>
  </si>
  <si>
    <t>Amounts should calculated according to qty</t>
  </si>
  <si>
    <t>Correct amount got calculated</t>
  </si>
  <si>
    <t xml:space="preserve">Invalid caculcation had done </t>
  </si>
  <si>
    <t>Supplier's Payment Entry</t>
  </si>
  <si>
    <t xml:space="preserve">Select supplier </t>
  </si>
  <si>
    <t>Select Date paid</t>
  </si>
  <si>
    <t>Items &amp; Inventory</t>
  </si>
  <si>
    <t>TS_18</t>
  </si>
  <si>
    <t>Process Transfer</t>
  </si>
  <si>
    <t>Availability of page and correct login credentials</t>
  </si>
  <si>
    <t>1. To verify process transfer with valid inputs</t>
  </si>
  <si>
    <t xml:space="preserve">1. To verify update functionality with valid inputs. </t>
  </si>
  <si>
    <t xml:space="preserve">3. To verify process dispatch with all valid inputs </t>
  </si>
  <si>
    <t>1. To verify process invoice with valid inputs.</t>
  </si>
  <si>
    <t>1. To verify add payment with valid inputs</t>
  </si>
  <si>
    <t>1. To verify process receive items with valid inputs</t>
  </si>
  <si>
    <t>2. To verify process transfer with same arrival and destination location</t>
  </si>
  <si>
    <t>3. To verify process transfer with invalid date</t>
  </si>
  <si>
    <t>4. To verify process transfer with invalid reference</t>
  </si>
  <si>
    <t>5. To verify process transfer with invalid item code</t>
  </si>
  <si>
    <t>6. To verify process transfer with invalid quantity</t>
  </si>
  <si>
    <r>
      <t>Test Cases</t>
    </r>
    <r>
      <rPr>
        <b/>
        <i/>
        <sz val="11.5"/>
        <color theme="1"/>
        <rFont val="Cambria"/>
        <family val="1"/>
      </rPr>
      <t xml:space="preserve"> (Purchase)</t>
    </r>
  </si>
  <si>
    <r>
      <t>Test Cases</t>
    </r>
    <r>
      <rPr>
        <b/>
        <i/>
        <sz val="11.5"/>
        <color theme="1"/>
        <rFont val="Cambria"/>
        <family val="1"/>
      </rPr>
      <t xml:space="preserve"> (Items &amp; Inventory)</t>
    </r>
  </si>
  <si>
    <t>Inventory Location Transfers</t>
  </si>
  <si>
    <t>Select From Location from dropdown</t>
  </si>
  <si>
    <t>Select To Location from dropdown list</t>
  </si>
  <si>
    <t>Enter Date of good transferred</t>
  </si>
  <si>
    <t>Enter Reference number</t>
  </si>
  <si>
    <t>Choose item description</t>
  </si>
  <si>
    <t>Enter Quantity</t>
  </si>
  <si>
    <t>Click on Add item</t>
  </si>
  <si>
    <t>Click on Process Transfer</t>
  </si>
  <si>
    <t>5987/2026</t>
  </si>
  <si>
    <t>Entered date should be display</t>
  </si>
  <si>
    <t>Selected location got displayed</t>
  </si>
  <si>
    <t xml:space="preserve">Items should get add </t>
  </si>
  <si>
    <t xml:space="preserve">Items got added </t>
  </si>
  <si>
    <t>Process transfer should place</t>
  </si>
  <si>
    <t>Process transfer got placed</t>
  </si>
  <si>
    <t>TC_86</t>
  </si>
  <si>
    <t>TC_87</t>
  </si>
  <si>
    <t>TC_88</t>
  </si>
  <si>
    <t>TC_89</t>
  </si>
  <si>
    <t>TC_90</t>
  </si>
  <si>
    <t>TC_91</t>
  </si>
  <si>
    <t>TC_92</t>
  </si>
  <si>
    <t>TC_93</t>
  </si>
  <si>
    <t>TC_94</t>
  </si>
  <si>
    <t>TC_95</t>
  </si>
  <si>
    <t>TC_96</t>
  </si>
  <si>
    <t>Process transfer should get fail</t>
  </si>
  <si>
    <t>Process transfer got fail with error</t>
  </si>
  <si>
    <t>TC_97</t>
  </si>
  <si>
    <t>TC_98</t>
  </si>
  <si>
    <t>[dsf,34,' ',12-02-2014,09-09-2055]</t>
  </si>
  <si>
    <t>Entered date should shows error</t>
  </si>
  <si>
    <t>Entered data got displayed with red color</t>
  </si>
  <si>
    <t>[dsfljdk,' ',4534,ft659/24]</t>
  </si>
  <si>
    <t>Entered data should be display with error msg</t>
  </si>
  <si>
    <t>Edit the Item code</t>
  </si>
  <si>
    <t xml:space="preserve">It should not be editable </t>
  </si>
  <si>
    <t>Invalid converts to default one</t>
  </si>
  <si>
    <t>Process transfer should get rejected with error</t>
  </si>
  <si>
    <t>Process transfer succeed with default value</t>
  </si>
  <si>
    <t>TC_99</t>
  </si>
  <si>
    <t>TC_100</t>
  </si>
  <si>
    <t>[0,fdg," ",-25]</t>
  </si>
  <si>
    <t>Invalid shouldn't get accepted</t>
  </si>
  <si>
    <t>Invalid qty converts to 0</t>
  </si>
  <si>
    <t>Inventory Item Movement</t>
  </si>
  <si>
    <t>Phase</t>
  </si>
  <si>
    <t>Type</t>
  </si>
  <si>
    <t>Priority</t>
  </si>
  <si>
    <t>Summary</t>
  </si>
  <si>
    <t>D_01</t>
  </si>
  <si>
    <t>Testing</t>
  </si>
  <si>
    <t>New</t>
  </si>
  <si>
    <t>Defect Report</t>
  </si>
  <si>
    <t>Defect_ID</t>
  </si>
  <si>
    <t>Project Name</t>
  </si>
  <si>
    <t>Module Name</t>
  </si>
  <si>
    <t>Sub-Module Name</t>
  </si>
  <si>
    <t xml:space="preserve">Severity </t>
  </si>
  <si>
    <t xml:space="preserve">Reported By </t>
  </si>
  <si>
    <t>Front Accounting</t>
  </si>
  <si>
    <t>Login</t>
  </si>
  <si>
    <t xml:space="preserve">Description </t>
  </si>
  <si>
    <t>Aryan Singh</t>
  </si>
  <si>
    <t>Non-Functional Defect</t>
  </si>
  <si>
    <t>TS_19</t>
  </si>
  <si>
    <t>Inventory Item Status</t>
  </si>
  <si>
    <t>To test process transfer functionality</t>
  </si>
  <si>
    <t>To test process transfer with same arrival and destination location</t>
  </si>
  <si>
    <t>To test process transfer with invalid date</t>
  </si>
  <si>
    <t>To test process transfer with invalid reference</t>
  </si>
  <si>
    <t>To test process transfer with invalid item code</t>
  </si>
  <si>
    <t xml:space="preserve"> To test process transfer with invalid quantity</t>
  </si>
  <si>
    <t>To test place order with all valid inputs</t>
  </si>
  <si>
    <t xml:space="preserve"> To test place order with invalid order date</t>
  </si>
  <si>
    <t>To test place order with single valid item input</t>
  </si>
  <si>
    <t>To test place order with multiple valid item inputs</t>
  </si>
  <si>
    <t>To test place order with no item input</t>
  </si>
  <si>
    <t>To test place order with invalid required delivery date</t>
  </si>
  <si>
    <t xml:space="preserve">To test place order with invalid quantity </t>
  </si>
  <si>
    <t xml:space="preserve"> To test place order with invalid price before tax</t>
  </si>
  <si>
    <t xml:space="preserve"> To test place order with Deliver to address</t>
  </si>
  <si>
    <t xml:space="preserve"> To test place order with invalid reference </t>
  </si>
  <si>
    <t>To test cancel order with all inputs filled</t>
  </si>
  <si>
    <t xml:space="preserve">To test cancel order for an empty order form </t>
  </si>
  <si>
    <t>To test update with valid inputs</t>
  </si>
  <si>
    <t>To test process receive items with valid inputs</t>
  </si>
  <si>
    <t>To test process receive items with invalid date items received</t>
  </si>
  <si>
    <t>To test process receive items by changing predined description</t>
  </si>
  <si>
    <t xml:space="preserve">To test process receive items with invalid this delievery </t>
  </si>
  <si>
    <t>To test enter invoice with valid details</t>
  </si>
  <si>
    <t>To test enter invoice with invalid date</t>
  </si>
  <si>
    <t>To test enter invoice with invalid supplier's reference</t>
  </si>
  <si>
    <t>To test enter invoice with due date</t>
  </si>
  <si>
    <t>To test enter invoice with invalid qty yet to invoice</t>
  </si>
  <si>
    <t>To test enter invoice with invalid price before tax</t>
  </si>
  <si>
    <t>To test add payment with valid details</t>
  </si>
  <si>
    <t>To test add payment with invaild bank charges</t>
  </si>
  <si>
    <t xml:space="preserve"> To test add payment with invalid date paid </t>
  </si>
  <si>
    <t>To test add payment with invalid amount of discount</t>
  </si>
  <si>
    <t xml:space="preserve"> To test add payment by keeping final amount greater than this allocation amount </t>
  </si>
  <si>
    <t xml:space="preserve">To test add payment by keeping final amount lesser than this allocation amount </t>
  </si>
  <si>
    <t xml:space="preserve"> To test add payment with single invoice amount to allocate</t>
  </si>
  <si>
    <t>To test add payment with multiple invoices to allocate</t>
  </si>
  <si>
    <t>To test add payment with no invoice amount got allocated.</t>
  </si>
  <si>
    <t xml:space="preserve">To test place quotation with all valid inputs </t>
  </si>
  <si>
    <t xml:space="preserve">To test place quotation with no items as input </t>
  </si>
  <si>
    <t xml:space="preserve">To test place quotation with single items </t>
  </si>
  <si>
    <t xml:space="preserve">To test place quotation with multiple items </t>
  </si>
  <si>
    <t>To test place quotation with invaild expiry date</t>
  </si>
  <si>
    <t>To test place quotation with invalid delievery address</t>
  </si>
  <si>
    <t>To test place quotation with invalid phone number</t>
  </si>
  <si>
    <t>To test place quotation with invalid quantity</t>
  </si>
  <si>
    <t>To test place quotation with invalid price</t>
  </si>
  <si>
    <t>To test place quotation with invalid delivery charges</t>
  </si>
  <si>
    <t>To test place quotation with invalid quotation date</t>
  </si>
  <si>
    <t xml:space="preserve">To test place quotation with cash payment as method   </t>
  </si>
  <si>
    <t xml:space="preserve"> To test place quotation with payment method as due 15th of the following month   </t>
  </si>
  <si>
    <t xml:space="preserve">To test place quotation with payment method as due by end of the following month  </t>
  </si>
  <si>
    <t xml:space="preserve">To test place quotation with payment method as prepaid </t>
  </si>
  <si>
    <t xml:space="preserve">To test place quotation with payment method as payment due within 10 days  </t>
  </si>
  <si>
    <t xml:space="preserve"> To test cancel quotation having all inputs in the quotation form   </t>
  </si>
  <si>
    <t xml:space="preserve">To test cancel quotation for an empty quotation form   </t>
  </si>
  <si>
    <t xml:space="preserve">To test place order with all valid inputs </t>
  </si>
  <si>
    <t xml:space="preserve">To test place order with no items as input </t>
  </si>
  <si>
    <t xml:space="preserve">To test place order with single items </t>
  </si>
  <si>
    <t xml:space="preserve">To test place order with multiple items </t>
  </si>
  <si>
    <t>To test place order with invaild expiry date</t>
  </si>
  <si>
    <t>To test place order with invalid delievery address</t>
  </si>
  <si>
    <t>To test place order with invalid phone number</t>
  </si>
  <si>
    <t>To test place order with invalid quantity</t>
  </si>
  <si>
    <t>To test place order with invalid price</t>
  </si>
  <si>
    <t>To test place order with invalid delievery charges</t>
  </si>
  <si>
    <t>To test place order with invalid order date</t>
  </si>
  <si>
    <t xml:space="preserve"> To test cancel order having all inputs in the order form   </t>
  </si>
  <si>
    <t xml:space="preserve"> To test update functionality with  valid details </t>
  </si>
  <si>
    <t xml:space="preserve"> To test update functionality by keeping the delievery items invalid </t>
  </si>
  <si>
    <t xml:space="preserve"> To test update functionality by keeping the shipping cost invalid </t>
  </si>
  <si>
    <t xml:space="preserve"> To test clear quantity having all inputs in the form </t>
  </si>
  <si>
    <t xml:space="preserve">To test clear quantity for an empty order form </t>
  </si>
  <si>
    <t xml:space="preserve"> To test process dispatch with invalid date. </t>
  </si>
  <si>
    <t xml:space="preserve">To test process dispatch with all valid details </t>
  </si>
  <si>
    <t xml:space="preserve">To test process dispatch with Automatically puts balance as Action </t>
  </si>
  <si>
    <t xml:space="preserve">To test process dipatch with Cancel any quantities not delievered as Action </t>
  </si>
  <si>
    <t xml:space="preserve"> To test update functionality with valid details. </t>
  </si>
  <si>
    <t>To test update functionality by keeping the shipping cost invalid</t>
  </si>
  <si>
    <t xml:space="preserve">To test process invoice with invalid due date </t>
  </si>
  <si>
    <t xml:space="preserve"> To test process invoice with invalid items description</t>
  </si>
  <si>
    <t>To test process invoice with invalid due date</t>
  </si>
  <si>
    <t xml:space="preserve">To test process invoice with invalid This invoice quantity </t>
  </si>
  <si>
    <t xml:space="preserve"> To test add payment with invalid date of deposit </t>
  </si>
  <si>
    <t>To test login feature with valid inputs</t>
  </si>
  <si>
    <t>To test login feature with invalid username</t>
  </si>
  <si>
    <t>To test login feature with invalid password</t>
  </si>
  <si>
    <t>To test login feature with invalid username &amp; passwords</t>
  </si>
  <si>
    <t xml:space="preserve"> To test login functinality with blank inputs</t>
  </si>
  <si>
    <t xml:space="preserve">To test the correct working of the login functionality </t>
  </si>
  <si>
    <t xml:space="preserve">To test the Place Quotation functionality </t>
  </si>
  <si>
    <t xml:space="preserve">To test the Cancel Quotation Functionality </t>
  </si>
  <si>
    <t xml:space="preserve">To test the Place Order functionality </t>
  </si>
  <si>
    <t xml:space="preserve">To test the Cancel Order Functionality </t>
  </si>
  <si>
    <t>To test the Update functionality properly updates the calculations</t>
  </si>
  <si>
    <t>To test the Clear Quantity functionality which clears current data</t>
  </si>
  <si>
    <t xml:space="preserve">To test the process dispatch functionality having successful submission of form </t>
  </si>
  <si>
    <t>To test the process invoice functionality proceeding invoice generation</t>
  </si>
  <si>
    <t xml:space="preserve">To test add payment functionality </t>
  </si>
  <si>
    <t xml:space="preserve">To test place order functionality </t>
  </si>
  <si>
    <t xml:space="preserve">To test cancel order functinality </t>
  </si>
  <si>
    <t>To test update functionality</t>
  </si>
  <si>
    <t xml:space="preserve">To test process receive items functionality </t>
  </si>
  <si>
    <t>To test enter invoice functinality</t>
  </si>
  <si>
    <t>To test the inventory item status functionality</t>
  </si>
  <si>
    <t xml:space="preserve">Availability of page and user must be logged in </t>
  </si>
  <si>
    <t>Show Movements</t>
  </si>
  <si>
    <t>To test the show movement functionality</t>
  </si>
  <si>
    <t>1. To verify show movement with all valid inputs.</t>
  </si>
  <si>
    <t>2. To verify show movement with invalid from date input.</t>
  </si>
  <si>
    <t>3. To verify show movement with invalid to date input.</t>
  </si>
  <si>
    <t>4. To verify show movement with mismatching the both date inputs.</t>
  </si>
  <si>
    <t xml:space="preserve">5. To verify show movement with invalid item code . </t>
  </si>
  <si>
    <t>6. To verify show movement quantity in feature by making the sales order.</t>
  </si>
  <si>
    <t>7. To verify show movement quantitiy out feature by making the purchase order.</t>
  </si>
  <si>
    <t>TC_101</t>
  </si>
  <si>
    <t>To verify show movement with all valid inputs.</t>
  </si>
  <si>
    <t xml:space="preserve">Choose item description </t>
  </si>
  <si>
    <t xml:space="preserve">Selected item got displayed </t>
  </si>
  <si>
    <t xml:space="preserve">pass </t>
  </si>
  <si>
    <t>Choose Warehouse location</t>
  </si>
  <si>
    <t xml:space="preserve">Selected warehouse got displayed </t>
  </si>
  <si>
    <t>Enter From date</t>
  </si>
  <si>
    <t>Enter To date</t>
  </si>
  <si>
    <t>Click on Show Movements</t>
  </si>
  <si>
    <t>All movements should be shown for the selected date</t>
  </si>
  <si>
    <t xml:space="preserve">Record had be shown correctly </t>
  </si>
  <si>
    <t>TC_102</t>
  </si>
  <si>
    <t>To verify show movement with invalid from date input.</t>
  </si>
  <si>
    <t>Invalid date should not be accepted</t>
  </si>
  <si>
    <t>Error message should be displayed</t>
  </si>
  <si>
    <t xml:space="preserve">Record had be shown  </t>
  </si>
  <si>
    <t>['',sdfdsa,63599,35/40/2098]</t>
  </si>
  <si>
    <t>TC_103</t>
  </si>
  <si>
    <t>To verify show movement with invalid to date input.</t>
  </si>
  <si>
    <t xml:space="preserve"> To verify show movement with mismatching the both date inputs.</t>
  </si>
  <si>
    <t>Future date shouldn't get accepted</t>
  </si>
  <si>
    <t>Record had be shown without error</t>
  </si>
  <si>
    <t>TC_104</t>
  </si>
  <si>
    <t>TC_105</t>
  </si>
  <si>
    <t>To verify show movement with invalid item code</t>
  </si>
  <si>
    <t>Edit item code</t>
  </si>
  <si>
    <t>[00,fghtgrf,5689]</t>
  </si>
  <si>
    <t>Item code shouldn't be editable and throw error</t>
  </si>
  <si>
    <t>Invalid code converted to default one</t>
  </si>
  <si>
    <t>To verify show movement quantity in feature by making the sales order</t>
  </si>
  <si>
    <t xml:space="preserve">Availability of page and user must be logged in.
Sales order must be placed with proper dispatch </t>
  </si>
  <si>
    <t>Correct Quantity Out has been shown</t>
  </si>
  <si>
    <t>TC_106</t>
  </si>
  <si>
    <t>TC_107</t>
  </si>
  <si>
    <t xml:space="preserve"> To verify show movement quantitiy out feature by making the purchase order</t>
  </si>
  <si>
    <t>Availability of page and user must be logged in.
purchase order must be placed with retrieval of items</t>
  </si>
  <si>
    <t>Correct Quantity In has been shown</t>
  </si>
  <si>
    <t>8. To verify show movement with different warehouse location</t>
  </si>
  <si>
    <t>TC_108</t>
  </si>
  <si>
    <t>To verify show movement with different warehouse location</t>
  </si>
  <si>
    <t>[Bandra,Thane,Goregaon,National,Default]</t>
  </si>
  <si>
    <t>TS_20</t>
  </si>
  <si>
    <t>2. To verify Demand and Avaiable features by making an Sales order</t>
  </si>
  <si>
    <t>3. To verify Demand and Quantity on Hand features by making an Order Dispatch</t>
  </si>
  <si>
    <t>4. To verify On order by placing an purchase order.</t>
  </si>
  <si>
    <t>5. To verify Quantity Hand and On Order by placing received items for the ordered items.</t>
  </si>
  <si>
    <t>TC_109</t>
  </si>
  <si>
    <t>To verify the Search  functionality for selected product availability as per location.</t>
  </si>
  <si>
    <t>1. To verify the Search  functionality for selected product availability s per location.</t>
  </si>
  <si>
    <t>Select an particular items</t>
  </si>
  <si>
    <t>Record should be shown for selected items</t>
  </si>
  <si>
    <t>All records has been shown for all warehouses</t>
  </si>
  <si>
    <t>TC_110</t>
  </si>
  <si>
    <t>Sales Order must be placed without dispatch . Availability of pages and login credentials</t>
  </si>
  <si>
    <t xml:space="preserve">Select an particular items </t>
  </si>
  <si>
    <t>Correct calculations had been taken between Demand and Available columns</t>
  </si>
  <si>
    <t xml:space="preserve"> To verify Demand and Available features by making an Sales order</t>
  </si>
  <si>
    <t>TC_111</t>
  </si>
  <si>
    <t xml:space="preserve"> To verify Demand and Quantity on Hand features by making an Order Dispatch</t>
  </si>
  <si>
    <t>Sales Order must be placed with dispatch . Availability of pages and login credentials</t>
  </si>
  <si>
    <t>Correct calculations had been taken between Demand and Quantity on hand columns</t>
  </si>
  <si>
    <t>All records calculation has been showed correct . Demand had returned to original number while quantity on hand got reduced after successful sales dispatch</t>
  </si>
  <si>
    <t xml:space="preserve">All records calculation has been showed correct , Demand and Available had been increased for an sales order </t>
  </si>
  <si>
    <t>TC_112</t>
  </si>
  <si>
    <t>To verify On order by placing an purchase order.</t>
  </si>
  <si>
    <t xml:space="preserve">Purchase order must be placed without retrieval. Availability of pages and login credentials </t>
  </si>
  <si>
    <t>On Order should be increased by the value at which quantity has been placed in purchase order</t>
  </si>
  <si>
    <t xml:space="preserve">On Order qty has been increased correctly </t>
  </si>
  <si>
    <t>TC_113</t>
  </si>
  <si>
    <t>To verify Quantity Hand and On Order by placing received items for the ordered items.</t>
  </si>
  <si>
    <t xml:space="preserve">Purchase order must be placed with retrieval. Availability of pages and login credentials </t>
  </si>
  <si>
    <t xml:space="preserve">On Order should be back to previous qty after successfully retrieval of orders </t>
  </si>
  <si>
    <t>On order has been calculated correctly with quantity on hand and Available feature</t>
  </si>
  <si>
    <t>D_02</t>
  </si>
  <si>
    <t xml:space="preserve">Font Accounting </t>
  </si>
  <si>
    <t xml:space="preserve">Functional Defect </t>
  </si>
  <si>
    <t>D_03</t>
  </si>
  <si>
    <t xml:space="preserve">Testing </t>
  </si>
  <si>
    <t>Functional Defect</t>
  </si>
  <si>
    <t>D_04</t>
  </si>
  <si>
    <t xml:space="preserve">Front Accounting </t>
  </si>
  <si>
    <t xml:space="preserve">New </t>
  </si>
  <si>
    <t>D_05</t>
  </si>
  <si>
    <t>D_06</t>
  </si>
  <si>
    <t>02/20/2022</t>
  </si>
  <si>
    <t>D_07</t>
  </si>
  <si>
    <t>D_08</t>
  </si>
  <si>
    <t>D_09</t>
  </si>
  <si>
    <t>D_10</t>
  </si>
  <si>
    <t>Entered data is displayed</t>
  </si>
  <si>
    <t>D_11</t>
  </si>
  <si>
    <t>D_12</t>
  </si>
  <si>
    <t>D_13</t>
  </si>
  <si>
    <t>D_14</t>
  </si>
  <si>
    <t>Delievery Against Order</t>
  </si>
  <si>
    <t>D_15</t>
  </si>
  <si>
    <t>Invoice Against Delievery</t>
  </si>
  <si>
    <t>D_16</t>
  </si>
  <si>
    <t>D_17</t>
  </si>
  <si>
    <t>D_18</t>
  </si>
  <si>
    <t>D_19</t>
  </si>
  <si>
    <t>Customer Payments</t>
  </si>
  <si>
    <t>D_20</t>
  </si>
  <si>
    <t>D_21</t>
  </si>
  <si>
    <t>D_22</t>
  </si>
  <si>
    <t>D_23</t>
  </si>
  <si>
    <t>D_24</t>
  </si>
  <si>
    <t>D_25</t>
  </si>
  <si>
    <t xml:space="preserve">Receive Purchase Order Items </t>
  </si>
  <si>
    <t>D_26</t>
  </si>
  <si>
    <t>D_27</t>
  </si>
  <si>
    <t>D_28</t>
  </si>
  <si>
    <t>D_29</t>
  </si>
  <si>
    <t>D_30</t>
  </si>
  <si>
    <t>Supplier's Payments</t>
  </si>
  <si>
    <t>D_31</t>
  </si>
  <si>
    <t>Items &amp; inventory</t>
  </si>
  <si>
    <t>Inventory Items Movement</t>
  </si>
  <si>
    <t>D_32</t>
  </si>
  <si>
    <t>D_33</t>
  </si>
  <si>
    <t>The password field should be strict, and pasting should be disabled; however, the current build allows pasting.</t>
  </si>
  <si>
    <t>The form accepts invalid addresses, including inputs containing only numbers or special characters.</t>
  </si>
  <si>
    <t>Invalid phone numbers are accepted without validation. The form does not validate the number of digits or reject non-numeric characters.</t>
  </si>
  <si>
    <t>The quantity field rejects invalid inputs such as letters and negative values, but it does not reject a quantity of 0 when placing a quotation.</t>
  </si>
  <si>
    <t>The price field is editable and accepts 0 and values lower than the default price. However, it rejects text and negative values.</t>
  </si>
  <si>
    <t>A negative delivery amount can be applied to an item quotation when the payment method is Cash Only.</t>
  </si>
  <si>
    <t>The quotation form accepts an invalid past date when the payment method is Cash Only. Date validation works correctly with the other payment methods.</t>
  </si>
  <si>
    <t>The quantity field rejects invalid inputs such as letters and negative values, but it does not reject a quantity of 0 when placing an order.</t>
  </si>
  <si>
    <t>A negative delivery amount can be applied to an item order when the payment method is Cash Only.</t>
  </si>
  <si>
    <t>The order form accepts an invalid past date when the payment method is Cash Only. Date validation works correctly with the other payment methods.</t>
  </si>
  <si>
    <t>The date field accepts dates in the standard format but does not validate dates from past or future years.</t>
  </si>
  <si>
    <t>Items and quantities are fetched correctly from previous orders, but the item description field remains editable and accepts any input.</t>
  </si>
  <si>
    <t>An invoice quantity of 0 is accepted, allowing an invoice to be created for an item with zero quantity.</t>
  </si>
  <si>
    <t>Bank charges are not included in the final amount calculation.</t>
  </si>
  <si>
    <t>A payment is accepted when the final amount is greater than the allocated amount. However, an error message appears when the final amount is lower than the allocated amount, which is incorrect.</t>
  </si>
  <si>
    <t>An invalid date is accepted regardless of the current date. After the order is placed, the order document is also not visible.</t>
  </si>
  <si>
    <t>An invalid date is accepted regardless of the current date, allowing the buyer to enter a past date as the required date.</t>
  </si>
  <si>
    <t>A quantity of 0 is accepted when placing an order, and no error message is displayed.</t>
  </si>
  <si>
    <t>The address updates according to the option selected in the Receive Into dropdown, but the field remains editable and has no validation.</t>
  </si>
  <si>
    <t>A quantity that does not match the quantity ordered is accepted.</t>
  </si>
  <si>
    <t>An amount that does not match the ordered amount is accepted.</t>
  </si>
  <si>
    <t>Basic date validation is not applied.</t>
  </si>
  <si>
    <t>The system does not display records for an invalid date range or show an error message. The date is accepted, and no results are displayed.</t>
  </si>
  <si>
    <t>Low</t>
  </si>
  <si>
    <t>High</t>
  </si>
  <si>
    <t>Inventory Items Status</t>
  </si>
  <si>
    <t>Inventory Item Movements</t>
  </si>
  <si>
    <t>Flow of System:-</t>
  </si>
  <si>
    <t>The system follows an integrated workflow covering Sales, Purchase, and Items &amp; Inventory Management. In the Sales module, the process begins with Sales Quotation Entry, followed by Sales Order Entry once the customer confirms the quotation. The goods are then dispatched through Delivery Against Sales Order, after which an Invoice Against Delivery is generated, and the transaction is completed by recording the payment received from the customer through Customer Payment Entry. In the Purchase module, the process starts with Purchase Order Entry to place orders with suppliers, followed by Outstanding Purchase Orders Maintenance to track pending orders. Once the goods are received and the supplier submits an invoice, the invoice is recorded through Suppliers Invoice, and the payment is processed through Payments to Suppliers. The Items &amp; Inventory module supports both sales and purchase activities by managing Inventory Location Transfers, tracking Inventory Item Movements, and monitoring Inventory Items Status. Together, these modules provide an end-to-end business process that connects quotations, orders, deliveries, invoicing, payments, purchasing, and inventory tracking, ensuring better control over stock movement and financial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</si>
</sst>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5"/>
      <color theme="1"/>
      <name val="Cambria"/>
      <family val="1"/>
    </font>
    <font>
      <u/>
      <sz val="11"/>
      <color theme="10"/>
      <name val="Calibri"/>
      <family val="2"/>
      <scheme val="minor"/>
    </font>
    <font>
      <u/>
      <sz val="10"/>
      <color theme="10"/>
      <name val="Cambria"/>
      <family val="1"/>
    </font>
    <font>
      <b/>
      <sz val="11.5"/>
      <color theme="1"/>
      <name val="Cambria"/>
      <family val="1"/>
    </font>
    <font>
      <b/>
      <i/>
      <sz val="11.5"/>
      <color theme="1"/>
      <name val="Cambria"/>
      <family val="1"/>
    </font>
    <font>
      <sz val="11.5"/>
      <color rgb="FF000000"/>
      <name val="Cambria"/>
      <family val="1"/>
    </font>
    <font>
      <b/>
      <sz val="11.5"/>
      <color rgb="FF000000"/>
      <name val="Cambria"/>
      <family val="1"/>
    </font>
    <font>
      <b/>
      <i/>
      <sz val="12.5"/>
      <color theme="1"/>
      <name val="Times New Roman"/>
      <family val="1"/>
    </font>
    <font>
      <sz val="12"/>
      <color theme="1"/>
      <name val="Cambria"/>
      <family val="1"/>
    </font>
    <font>
      <b/>
      <sz val="12"/>
      <color theme="1"/>
      <name val="Cambria"/>
      <family val="1"/>
    </font>
    <font>
      <b/>
      <i/>
      <sz val="12"/>
      <color theme="1"/>
      <name val="Cambria"/>
      <family val="1"/>
    </font>
    <font>
      <sz val="10"/>
      <color theme="1"/>
      <name val="Segoe UI"/>
      <family val="2"/>
    </font>
  </fonts>
  <fills count="11">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A9D08E"/>
        <bgColor rgb="FF000000"/>
      </patternFill>
    </fill>
    <fill>
      <patternFill patternType="solid">
        <fgColor theme="5" tint="0.39997558519241921"/>
        <bgColor rgb="FF000000"/>
      </patternFill>
    </fill>
    <fill>
      <patternFill patternType="solid">
        <fgColor theme="7" tint="0.59999389629810485"/>
        <bgColor indexed="64"/>
      </patternFill>
    </fill>
    <fill>
      <patternFill patternType="solid">
        <fgColor rgb="FFD9D9D9"/>
        <bgColor indexed="64"/>
      </patternFill>
    </fill>
  </fills>
  <borders count="58">
    <border>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rgb="FF000000"/>
      </bottom>
      <diagonal/>
    </border>
    <border>
      <left style="thin">
        <color indexed="64"/>
      </left>
      <right style="thin">
        <color indexed="64"/>
      </right>
      <top/>
      <bottom style="medium">
        <color rgb="FF000000"/>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87">
    <xf numFmtId="0" fontId="0" fillId="0" borderId="0" xfId="0"/>
    <xf numFmtId="0" fontId="1" fillId="0" borderId="0" xfId="0" applyFont="1" applyAlignment="1">
      <alignment vertical="center"/>
    </xf>
    <xf numFmtId="0" fontId="3" fillId="0" borderId="1" xfId="1" applyFont="1" applyBorder="1" applyAlignment="1">
      <alignment vertical="center"/>
    </xf>
    <xf numFmtId="0" fontId="1" fillId="0" borderId="0" xfId="0" applyFont="1" applyAlignment="1">
      <alignment vertical="center" wrapText="1"/>
    </xf>
    <xf numFmtId="0" fontId="1" fillId="0" borderId="2" xfId="0" applyFont="1" applyBorder="1" applyAlignment="1">
      <alignment vertical="center"/>
    </xf>
    <xf numFmtId="0" fontId="1" fillId="0" borderId="2" xfId="0" applyFont="1" applyBorder="1" applyAlignment="1">
      <alignment vertical="center" wrapText="1"/>
    </xf>
    <xf numFmtId="0" fontId="4" fillId="0" borderId="3" xfId="0" applyFont="1" applyBorder="1" applyAlignment="1">
      <alignment vertical="center"/>
    </xf>
    <xf numFmtId="0" fontId="1" fillId="0" borderId="4" xfId="0" applyFont="1" applyBorder="1" applyAlignment="1">
      <alignment vertical="center"/>
    </xf>
    <xf numFmtId="0" fontId="4" fillId="0" borderId="5"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4" fillId="0" borderId="6" xfId="0" applyFont="1" applyBorder="1" applyAlignment="1">
      <alignment vertical="center"/>
    </xf>
    <xf numFmtId="0" fontId="1" fillId="0" borderId="7" xfId="0" applyFont="1" applyBorder="1" applyAlignment="1">
      <alignment vertical="center"/>
    </xf>
    <xf numFmtId="0" fontId="4" fillId="2" borderId="2" xfId="0" applyFont="1" applyFill="1" applyBorder="1" applyAlignment="1">
      <alignment horizontal="center" vertical="center"/>
    </xf>
    <xf numFmtId="0" fontId="1" fillId="0" borderId="2" xfId="0" applyFont="1" applyBorder="1" applyAlignment="1">
      <alignment horizontal="center" vertical="center"/>
    </xf>
    <xf numFmtId="0" fontId="4" fillId="2" borderId="5" xfId="0" applyFont="1" applyFill="1" applyBorder="1" applyAlignment="1">
      <alignment horizontal="center" vertical="center"/>
    </xf>
    <xf numFmtId="0" fontId="4" fillId="2" borderId="1" xfId="0" applyFont="1" applyFill="1" applyBorder="1" applyAlignment="1">
      <alignment horizontal="center" vertical="center"/>
    </xf>
    <xf numFmtId="0" fontId="1" fillId="0" borderId="0" xfId="0" applyFont="1" applyAlignment="1">
      <alignment horizontal="center" vertical="center"/>
    </xf>
    <xf numFmtId="0" fontId="4" fillId="2" borderId="2" xfId="0" applyFont="1" applyFill="1" applyBorder="1" applyAlignment="1">
      <alignment horizontal="center" vertical="center" wrapText="1"/>
    </xf>
    <xf numFmtId="0" fontId="1" fillId="0" borderId="2" xfId="0" quotePrefix="1" applyFont="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0" fontId="6" fillId="0" borderId="2" xfId="0" quotePrefix="1" applyFont="1" applyBorder="1" applyAlignment="1">
      <alignment horizontal="center" vertical="center"/>
    </xf>
    <xf numFmtId="0" fontId="1" fillId="0" borderId="4" xfId="0" applyFont="1" applyBorder="1" applyAlignment="1">
      <alignment horizontal="left"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14" xfId="0" applyFont="1" applyBorder="1" applyAlignment="1">
      <alignment horizontal="left" vertical="center" wrapText="1"/>
    </xf>
    <xf numFmtId="0" fontId="1" fillId="0" borderId="0" xfId="0" applyFont="1" applyAlignment="1">
      <alignment horizontal="left"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25" xfId="0" applyFont="1" applyBorder="1" applyAlignment="1">
      <alignment horizontal="left" vertical="center" wrapText="1"/>
    </xf>
    <xf numFmtId="0" fontId="6" fillId="0" borderId="2" xfId="0" applyFont="1" applyBorder="1" applyAlignment="1">
      <alignment horizontal="center"/>
    </xf>
    <xf numFmtId="0" fontId="1" fillId="0" borderId="2" xfId="0" quotePrefix="1" applyFont="1" applyBorder="1" applyAlignment="1">
      <alignment vertical="center" wrapText="1"/>
    </xf>
    <xf numFmtId="14" fontId="1" fillId="0" borderId="2" xfId="0" applyNumberFormat="1" applyFont="1" applyBorder="1" applyAlignment="1">
      <alignment horizontal="center" vertical="center"/>
    </xf>
    <xf numFmtId="0" fontId="6" fillId="0" borderId="27" xfId="0" applyFont="1" applyBorder="1" applyAlignment="1">
      <alignment horizontal="center" vertical="center"/>
    </xf>
    <xf numFmtId="0" fontId="6" fillId="0" borderId="27" xfId="0" applyFont="1" applyBorder="1" applyAlignment="1">
      <alignment vertical="center"/>
    </xf>
    <xf numFmtId="0" fontId="6" fillId="0" borderId="27" xfId="0" applyFont="1" applyBorder="1" applyAlignment="1">
      <alignment vertical="center" wrapText="1"/>
    </xf>
    <xf numFmtId="0" fontId="6" fillId="0" borderId="28" xfId="0" applyFont="1" applyBorder="1" applyAlignment="1">
      <alignment horizontal="center" vertical="center"/>
    </xf>
    <xf numFmtId="0" fontId="6" fillId="0" borderId="28" xfId="0" applyFont="1" applyBorder="1" applyAlignment="1">
      <alignment vertical="center"/>
    </xf>
    <xf numFmtId="0" fontId="6" fillId="0" borderId="28" xfId="0" applyFont="1" applyBorder="1" applyAlignment="1">
      <alignment vertical="center" wrapText="1"/>
    </xf>
    <xf numFmtId="0" fontId="6" fillId="0" borderId="28" xfId="0" applyFont="1" applyBorder="1" applyAlignment="1">
      <alignment horizontal="center"/>
    </xf>
    <xf numFmtId="14" fontId="6" fillId="0" borderId="28" xfId="0" applyNumberFormat="1" applyFont="1" applyBorder="1" applyAlignment="1">
      <alignment horizontal="center" vertical="center"/>
    </xf>
    <xf numFmtId="0" fontId="1" fillId="0" borderId="29" xfId="0" applyFont="1" applyBorder="1" applyAlignment="1">
      <alignment horizontal="left" vertical="center" wrapText="1"/>
    </xf>
    <xf numFmtId="0" fontId="1" fillId="0" borderId="26" xfId="0" applyFont="1" applyBorder="1" applyAlignment="1">
      <alignment horizontal="center" vertical="center"/>
    </xf>
    <xf numFmtId="0" fontId="1" fillId="0" borderId="26" xfId="0" applyFont="1" applyBorder="1" applyAlignment="1">
      <alignment vertical="center"/>
    </xf>
    <xf numFmtId="0" fontId="1" fillId="0" borderId="26" xfId="0" applyFont="1" applyBorder="1" applyAlignment="1">
      <alignment vertical="center" wrapText="1"/>
    </xf>
    <xf numFmtId="0" fontId="4" fillId="2" borderId="8" xfId="0" applyFont="1" applyFill="1" applyBorder="1" applyAlignment="1">
      <alignment horizontal="center" vertical="center"/>
    </xf>
    <xf numFmtId="0" fontId="4" fillId="2" borderId="15"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34" xfId="0" applyFont="1" applyFill="1" applyBorder="1" applyAlignment="1">
      <alignment horizontal="center" vertical="center"/>
    </xf>
    <xf numFmtId="0" fontId="4" fillId="0" borderId="0" xfId="0" applyFont="1" applyAlignment="1">
      <alignment horizontal="center" vertical="center"/>
    </xf>
    <xf numFmtId="0" fontId="1" fillId="0" borderId="39" xfId="0" applyFont="1" applyBorder="1" applyAlignment="1">
      <alignment horizontal="left" vertical="center" wrapText="1"/>
    </xf>
    <xf numFmtId="0" fontId="1" fillId="0" borderId="2" xfId="0" applyFont="1" applyBorder="1" applyAlignment="1">
      <alignment horizontal="left" vertical="center" wrapText="1"/>
    </xf>
    <xf numFmtId="0" fontId="1" fillId="0" borderId="7" xfId="0" applyFont="1" applyBorder="1" applyAlignment="1">
      <alignment horizontal="left" vertical="center" wrapText="1"/>
    </xf>
    <xf numFmtId="0" fontId="1" fillId="0" borderId="13" xfId="0" applyFont="1" applyBorder="1" applyAlignment="1">
      <alignment horizontal="left" vertical="center" wrapText="1"/>
    </xf>
    <xf numFmtId="0" fontId="1" fillId="0" borderId="40" xfId="0" applyFont="1" applyBorder="1" applyAlignment="1">
      <alignment vertical="center"/>
    </xf>
    <xf numFmtId="0" fontId="4" fillId="0" borderId="33" xfId="0" applyFont="1" applyBorder="1" applyAlignment="1">
      <alignment vertical="center"/>
    </xf>
    <xf numFmtId="0" fontId="1" fillId="0" borderId="41" xfId="0" applyFont="1" applyBorder="1" applyAlignment="1">
      <alignment vertical="center"/>
    </xf>
    <xf numFmtId="0" fontId="1" fillId="0" borderId="42" xfId="0" applyFont="1" applyBorder="1" applyAlignment="1">
      <alignment vertical="center"/>
    </xf>
    <xf numFmtId="0" fontId="1" fillId="0" borderId="26" xfId="0" applyFont="1" applyBorder="1" applyAlignment="1">
      <alignment horizontal="left" vertical="center" wrapText="1"/>
    </xf>
    <xf numFmtId="14" fontId="1" fillId="0" borderId="0" xfId="0" quotePrefix="1" applyNumberFormat="1" applyFont="1" applyAlignment="1">
      <alignment horizontal="center" vertical="center"/>
    </xf>
    <xf numFmtId="14" fontId="1" fillId="0" borderId="2" xfId="0" applyNumberFormat="1" applyFont="1" applyBorder="1" applyAlignment="1">
      <alignment horizontal="center" vertical="center" wrapText="1"/>
    </xf>
    <xf numFmtId="0" fontId="4"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3" borderId="2" xfId="0" applyFont="1" applyFill="1" applyBorder="1" applyAlignment="1">
      <alignment horizontal="center" vertical="center"/>
    </xf>
    <xf numFmtId="14" fontId="1" fillId="0" borderId="2" xfId="0" quotePrefix="1" applyNumberFormat="1"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10" xfId="0" applyFont="1" applyBorder="1" applyAlignment="1">
      <alignment vertical="center" wrapText="1"/>
    </xf>
    <xf numFmtId="0" fontId="1" fillId="0" borderId="11" xfId="0" applyFont="1" applyBorder="1" applyAlignment="1">
      <alignment horizontal="center" vertical="center"/>
    </xf>
    <xf numFmtId="0" fontId="1" fillId="0" borderId="11" xfId="0" applyFont="1" applyBorder="1" applyAlignment="1">
      <alignment vertical="center"/>
    </xf>
    <xf numFmtId="0" fontId="1" fillId="0" borderId="11" xfId="0" quotePrefix="1" applyFont="1" applyBorder="1" applyAlignment="1">
      <alignment horizontal="center" vertical="center"/>
    </xf>
    <xf numFmtId="0" fontId="1" fillId="0" borderId="11" xfId="0" applyFont="1" applyBorder="1" applyAlignment="1">
      <alignment vertical="center" wrapText="1"/>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wrapText="1"/>
    </xf>
    <xf numFmtId="0" fontId="1" fillId="0" borderId="47" xfId="0" applyFont="1" applyBorder="1" applyAlignment="1">
      <alignment horizontal="left" vertical="top" wrapText="1"/>
    </xf>
    <xf numFmtId="0" fontId="4" fillId="2" borderId="14" xfId="0" applyFont="1" applyFill="1" applyBorder="1" applyAlignment="1">
      <alignment horizontal="center" vertical="center" wrapText="1"/>
    </xf>
    <xf numFmtId="0" fontId="6" fillId="0" borderId="50" xfId="0" applyFont="1" applyBorder="1" applyAlignment="1">
      <alignment horizontal="center" vertical="center"/>
    </xf>
    <xf numFmtId="0" fontId="6" fillId="0" borderId="50" xfId="0" applyFont="1" applyBorder="1" applyAlignment="1">
      <alignment vertical="center"/>
    </xf>
    <xf numFmtId="0" fontId="6" fillId="0" borderId="50" xfId="0" applyFont="1" applyBorder="1" applyAlignment="1">
      <alignment vertical="center" wrapText="1"/>
    </xf>
    <xf numFmtId="0" fontId="6" fillId="0" borderId="52" xfId="0" applyFont="1" applyBorder="1" applyAlignment="1">
      <alignment horizontal="center" vertical="center"/>
    </xf>
    <xf numFmtId="0" fontId="6" fillId="0" borderId="52" xfId="0" applyFont="1" applyBorder="1" applyAlignment="1">
      <alignment vertical="center"/>
    </xf>
    <xf numFmtId="0" fontId="6" fillId="0" borderId="52" xfId="0" applyFont="1" applyBorder="1" applyAlignment="1">
      <alignment vertical="center" wrapText="1"/>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13" xfId="0" applyFont="1" applyBorder="1" applyAlignment="1">
      <alignment horizontal="center" vertical="center"/>
    </xf>
    <xf numFmtId="0" fontId="4" fillId="0" borderId="4" xfId="0" applyFont="1" applyBorder="1" applyAlignment="1">
      <alignment vertical="center"/>
    </xf>
    <xf numFmtId="0" fontId="1" fillId="0" borderId="0" xfId="0" applyFont="1"/>
    <xf numFmtId="0" fontId="1" fillId="0" borderId="0" xfId="0" applyFont="1" applyAlignment="1">
      <alignment horizontal="left"/>
    </xf>
    <xf numFmtId="0" fontId="5" fillId="4" borderId="44"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5" xfId="0" applyFont="1" applyFill="1" applyBorder="1" applyAlignment="1">
      <alignment horizontal="center" vertical="center"/>
    </xf>
    <xf numFmtId="0" fontId="1" fillId="0" borderId="2" xfId="0" applyFont="1" applyBorder="1" applyAlignment="1">
      <alignment horizontal="left"/>
    </xf>
    <xf numFmtId="0" fontId="1" fillId="0" borderId="2" xfId="0" applyFont="1" applyBorder="1" applyAlignment="1">
      <alignment horizontal="left" vertical="center"/>
    </xf>
    <xf numFmtId="0" fontId="1" fillId="0" borderId="10" xfId="0" applyFont="1" applyBorder="1" applyAlignment="1">
      <alignment horizontal="left"/>
    </xf>
    <xf numFmtId="0" fontId="1" fillId="0" borderId="11" xfId="0" applyFont="1" applyBorder="1" applyAlignment="1">
      <alignment horizontal="left"/>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6" fillId="0" borderId="2" xfId="0" applyFont="1" applyBorder="1" applyAlignment="1">
      <alignment horizontal="left" vertical="center"/>
    </xf>
    <xf numFmtId="0" fontId="6" fillId="0" borderId="27" xfId="0" applyFont="1" applyBorder="1" applyAlignment="1">
      <alignment horizontal="left" vertical="center"/>
    </xf>
    <xf numFmtId="0" fontId="6" fillId="0" borderId="50" xfId="0" applyFont="1" applyBorder="1" applyAlignment="1">
      <alignment horizontal="left" vertical="center"/>
    </xf>
    <xf numFmtId="0" fontId="6" fillId="0" borderId="28" xfId="0" applyFont="1" applyBorder="1" applyAlignment="1">
      <alignment horizontal="left" vertical="center"/>
    </xf>
    <xf numFmtId="0" fontId="6" fillId="0" borderId="52" xfId="0" applyFont="1" applyBorder="1" applyAlignment="1">
      <alignment horizontal="left" vertical="center"/>
    </xf>
    <xf numFmtId="0" fontId="6" fillId="0" borderId="11" xfId="0" applyFont="1" applyBorder="1" applyAlignment="1">
      <alignment horizontal="center" vertical="center"/>
    </xf>
    <xf numFmtId="0" fontId="1" fillId="0" borderId="35" xfId="0" applyFont="1" applyBorder="1" applyAlignment="1">
      <alignment horizontal="center" vertical="center"/>
    </xf>
    <xf numFmtId="0" fontId="1" fillId="0" borderId="36" xfId="0" applyFont="1" applyBorder="1" applyAlignment="1">
      <alignment horizontal="center" vertical="center" wrapText="1"/>
    </xf>
    <xf numFmtId="0" fontId="1" fillId="0" borderId="37" xfId="0" applyFont="1" applyBorder="1" applyAlignment="1">
      <alignment horizontal="left" vertical="center" wrapText="1"/>
    </xf>
    <xf numFmtId="0" fontId="1" fillId="0" borderId="13" xfId="0" applyFont="1" applyBorder="1" applyAlignment="1">
      <alignment horizontal="left"/>
    </xf>
    <xf numFmtId="0" fontId="1" fillId="0" borderId="13" xfId="0" quotePrefix="1" applyFont="1" applyBorder="1" applyAlignment="1">
      <alignment horizontal="center" vertical="center"/>
    </xf>
    <xf numFmtId="0" fontId="4" fillId="2" borderId="9" xfId="0" applyFont="1" applyFill="1" applyBorder="1" applyAlignment="1">
      <alignment horizontal="center" vertical="center"/>
    </xf>
    <xf numFmtId="0" fontId="4" fillId="2" borderId="17" xfId="0" applyFont="1" applyFill="1" applyBorder="1" applyAlignment="1">
      <alignment horizontal="center" vertical="center" wrapText="1"/>
    </xf>
    <xf numFmtId="0" fontId="4" fillId="2" borderId="17" xfId="0" applyFont="1" applyFill="1" applyBorder="1" applyAlignment="1">
      <alignment horizontal="center" vertical="center"/>
    </xf>
    <xf numFmtId="0" fontId="4" fillId="2" borderId="54" xfId="0" applyFont="1" applyFill="1" applyBorder="1" applyAlignment="1">
      <alignment horizontal="center" vertical="center"/>
    </xf>
    <xf numFmtId="0" fontId="9" fillId="0" borderId="0" xfId="0" applyFont="1"/>
    <xf numFmtId="0" fontId="9" fillId="0" borderId="0" xfId="0" applyFont="1" applyAlignment="1">
      <alignment horizontal="center" vertical="center"/>
    </xf>
    <xf numFmtId="0" fontId="6" fillId="0" borderId="11" xfId="0" applyFont="1" applyBorder="1" applyAlignment="1">
      <alignment vertical="center"/>
    </xf>
    <xf numFmtId="0" fontId="1" fillId="0" borderId="0" xfId="0" applyFont="1" applyAlignment="1">
      <alignment horizontal="left" vertical="center"/>
    </xf>
    <xf numFmtId="0" fontId="4" fillId="2" borderId="17" xfId="0" applyFont="1" applyFill="1" applyBorder="1" applyAlignment="1">
      <alignment horizontal="left" vertical="center" wrapText="1"/>
    </xf>
    <xf numFmtId="0" fontId="1" fillId="0" borderId="11" xfId="0" applyFont="1" applyBorder="1" applyAlignment="1">
      <alignment horizontal="left" vertical="center" wrapText="1"/>
    </xf>
    <xf numFmtId="0" fontId="4" fillId="2" borderId="17" xfId="0" applyFont="1" applyFill="1" applyBorder="1" applyAlignment="1">
      <alignment horizontal="left" vertical="center"/>
    </xf>
    <xf numFmtId="0" fontId="1" fillId="0" borderId="36" xfId="0" applyFont="1" applyBorder="1" applyAlignment="1">
      <alignment horizontal="center" vertical="center"/>
    </xf>
    <xf numFmtId="0" fontId="1" fillId="0" borderId="36" xfId="0" applyFont="1" applyBorder="1" applyAlignment="1">
      <alignment horizontal="left" vertical="center"/>
    </xf>
    <xf numFmtId="0" fontId="4" fillId="0" borderId="37" xfId="0" applyFont="1" applyBorder="1" applyAlignment="1">
      <alignment horizontal="center" vertical="center"/>
    </xf>
    <xf numFmtId="0" fontId="1" fillId="0" borderId="57" xfId="0" applyFont="1" applyBorder="1" applyAlignment="1">
      <alignment horizontal="center" vertical="center"/>
    </xf>
    <xf numFmtId="0" fontId="1" fillId="0" borderId="56" xfId="0" applyFont="1" applyBorder="1" applyAlignment="1">
      <alignment horizontal="center" vertical="center" wrapText="1"/>
    </xf>
    <xf numFmtId="0" fontId="1" fillId="0" borderId="55" xfId="0" applyFont="1" applyBorder="1" applyAlignment="1">
      <alignment horizontal="center" vertical="center" wrapText="1"/>
    </xf>
    <xf numFmtId="0" fontId="9" fillId="0" borderId="0" xfId="0" applyFont="1" applyAlignment="1">
      <alignment horizontal="center" vertical="center" wrapText="1"/>
    </xf>
    <xf numFmtId="14" fontId="6" fillId="0" borderId="2" xfId="0" applyNumberFormat="1" applyFont="1" applyBorder="1" applyAlignment="1">
      <alignment horizontal="center" vertical="center"/>
    </xf>
    <xf numFmtId="0" fontId="6" fillId="0" borderId="10" xfId="0" applyFont="1" applyBorder="1" applyAlignment="1">
      <alignment vertical="center"/>
    </xf>
    <xf numFmtId="0" fontId="6" fillId="0" borderId="10" xfId="0" applyFont="1" applyBorder="1" applyAlignment="1">
      <alignment horizontal="center" vertical="center"/>
    </xf>
    <xf numFmtId="0" fontId="1" fillId="0" borderId="26" xfId="0" quotePrefix="1" applyFont="1" applyBorder="1" applyAlignment="1">
      <alignment horizontal="center"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10" fillId="2" borderId="5"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2" xfId="0" applyFont="1" applyFill="1" applyBorder="1" applyAlignment="1">
      <alignment horizontal="center" vertical="center" wrapText="1"/>
    </xf>
    <xf numFmtId="0" fontId="10" fillId="2" borderId="1" xfId="0" applyFont="1" applyFill="1" applyBorder="1" applyAlignment="1">
      <alignment horizontal="center" vertical="center"/>
    </xf>
    <xf numFmtId="0" fontId="9" fillId="2" borderId="0" xfId="0" applyFont="1" applyFill="1" applyAlignment="1">
      <alignment horizontal="center" vertical="center"/>
    </xf>
    <xf numFmtId="0" fontId="10" fillId="10" borderId="2" xfId="0" applyFont="1" applyFill="1" applyBorder="1" applyAlignment="1">
      <alignment horizontal="center" vertical="center" wrapText="1"/>
    </xf>
    <xf numFmtId="0" fontId="10" fillId="10" borderId="2" xfId="0" applyFont="1" applyFill="1" applyBorder="1" applyAlignment="1">
      <alignment horizontal="center" vertical="center"/>
    </xf>
    <xf numFmtId="0" fontId="12" fillId="0" borderId="0" xfId="0" applyFont="1" applyAlignment="1">
      <alignment vertical="top" wrapText="1"/>
    </xf>
    <xf numFmtId="0" fontId="4" fillId="0" borderId="0" xfId="0" applyFont="1" applyAlignment="1">
      <alignment vertical="center"/>
    </xf>
    <xf numFmtId="0" fontId="6" fillId="0" borderId="18" xfId="0" applyFont="1" applyBorder="1" applyAlignment="1">
      <alignment horizontal="center" vertical="center"/>
    </xf>
    <xf numFmtId="0" fontId="6" fillId="0" borderId="8" xfId="0" applyFont="1" applyBorder="1" applyAlignment="1">
      <alignment horizontal="center" vertical="center"/>
    </xf>
    <xf numFmtId="0" fontId="6" fillId="0" borderId="48" xfId="0" applyFont="1" applyBorder="1" applyAlignment="1">
      <alignment horizontal="center" vertical="center"/>
    </xf>
    <xf numFmtId="0" fontId="6" fillId="0" borderId="16"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49" xfId="0" applyFont="1" applyBorder="1" applyAlignment="1">
      <alignment horizontal="center" vertical="center" wrapText="1"/>
    </xf>
    <xf numFmtId="0" fontId="7" fillId="7" borderId="51" xfId="0" applyFont="1" applyFill="1" applyBorder="1" applyAlignment="1">
      <alignment horizontal="center" vertical="center"/>
    </xf>
    <xf numFmtId="0" fontId="7" fillId="7" borderId="34" xfId="0" applyFont="1" applyFill="1" applyBorder="1" applyAlignment="1">
      <alignment horizontal="center" vertical="center"/>
    </xf>
    <xf numFmtId="0" fontId="7" fillId="7" borderId="47" xfId="0" applyFont="1" applyFill="1" applyBorder="1" applyAlignment="1">
      <alignment horizontal="center" vertical="center"/>
    </xf>
    <xf numFmtId="0" fontId="5" fillId="4" borderId="31" xfId="0" applyFont="1" applyFill="1" applyBorder="1" applyAlignment="1">
      <alignment horizontal="center" vertical="center"/>
    </xf>
    <xf numFmtId="0" fontId="5" fillId="4" borderId="32" xfId="0" applyFont="1" applyFill="1" applyBorder="1" applyAlignment="1">
      <alignment horizontal="center" vertical="center"/>
    </xf>
    <xf numFmtId="0" fontId="5" fillId="4" borderId="33" xfId="0" applyFont="1" applyFill="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wrapText="1"/>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4" fillId="0" borderId="14" xfId="0" applyFont="1" applyBorder="1" applyAlignment="1">
      <alignment horizontal="center" vertical="center"/>
    </xf>
    <xf numFmtId="0" fontId="4" fillId="0" borderId="7" xfId="0" applyFont="1" applyBorder="1" applyAlignment="1">
      <alignment horizontal="center" vertical="center"/>
    </xf>
    <xf numFmtId="0" fontId="1" fillId="0" borderId="19"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20" xfId="0" applyFont="1" applyBorder="1" applyAlignment="1">
      <alignment horizontal="center" vertical="center" wrapText="1"/>
    </xf>
    <xf numFmtId="0" fontId="4" fillId="5" borderId="4"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7" xfId="0" applyFont="1" applyFill="1" applyBorder="1" applyAlignment="1">
      <alignment horizontal="center" vertical="center"/>
    </xf>
    <xf numFmtId="0" fontId="4" fillId="3" borderId="35" xfId="0" applyFont="1" applyFill="1" applyBorder="1" applyAlignment="1">
      <alignment horizontal="center" vertical="center"/>
    </xf>
    <xf numFmtId="0" fontId="4" fillId="3" borderId="36" xfId="0" applyFont="1" applyFill="1" applyBorder="1" applyAlignment="1">
      <alignment horizontal="center" vertical="center"/>
    </xf>
    <xf numFmtId="0" fontId="4" fillId="3" borderId="37" xfId="0" applyFont="1" applyFill="1" applyBorder="1" applyAlignment="1">
      <alignment horizontal="center" vertical="center"/>
    </xf>
    <xf numFmtId="0" fontId="1" fillId="0" borderId="16"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7" fillId="8" borderId="51" xfId="0" applyFont="1" applyFill="1" applyBorder="1" applyAlignment="1">
      <alignment horizontal="center" vertical="center"/>
    </xf>
    <xf numFmtId="0" fontId="7" fillId="8" borderId="34" xfId="0" applyFont="1" applyFill="1" applyBorder="1" applyAlignment="1">
      <alignment horizontal="center" vertical="center"/>
    </xf>
    <xf numFmtId="0" fontId="7" fillId="8" borderId="47" xfId="0" applyFont="1" applyFill="1" applyBorder="1" applyAlignment="1">
      <alignment horizontal="center" vertical="center"/>
    </xf>
    <xf numFmtId="0" fontId="4" fillId="0" borderId="51" xfId="0" applyFont="1" applyBorder="1" applyAlignment="1">
      <alignment horizontal="center" vertical="center"/>
    </xf>
    <xf numFmtId="0" fontId="4" fillId="0" borderId="34" xfId="0" applyFont="1" applyBorder="1" applyAlignment="1">
      <alignment horizontal="center" vertical="center"/>
    </xf>
    <xf numFmtId="0" fontId="4" fillId="0" borderId="5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2" fillId="0" borderId="0" xfId="0" applyFont="1" applyAlignment="1">
      <alignment horizontal="left" vertical="top" wrapText="1"/>
    </xf>
    <xf numFmtId="0" fontId="1" fillId="0" borderId="26" xfId="0" applyFont="1" applyBorder="1" applyAlignment="1">
      <alignment horizontal="center" vertical="center" wrapText="1"/>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1" fillId="0" borderId="26" xfId="0" applyFont="1" applyBorder="1" applyAlignment="1">
      <alignment horizontal="center" vertical="center"/>
    </xf>
    <xf numFmtId="0" fontId="1" fillId="0" borderId="38"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4" fillId="3" borderId="3"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46" xfId="0" applyFont="1" applyBorder="1" applyAlignment="1">
      <alignment horizontal="center" vertical="center"/>
    </xf>
    <xf numFmtId="0" fontId="4" fillId="2" borderId="31"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44" xfId="0" applyFont="1" applyFill="1" applyBorder="1" applyAlignment="1">
      <alignment horizontal="center" vertical="center"/>
    </xf>
    <xf numFmtId="0" fontId="4" fillId="2" borderId="43" xfId="0" applyFont="1" applyFill="1" applyBorder="1" applyAlignment="1">
      <alignment horizontal="center" vertical="center"/>
    </xf>
    <xf numFmtId="0" fontId="4" fillId="2" borderId="45" xfId="0" applyFont="1" applyFill="1" applyBorder="1" applyAlignment="1">
      <alignment horizontal="center" vertical="center"/>
    </xf>
    <xf numFmtId="0" fontId="9" fillId="0" borderId="10" xfId="0" applyFont="1" applyBorder="1" applyAlignment="1">
      <alignment horizontal="center" vertical="center" wrapText="1"/>
    </xf>
    <xf numFmtId="0" fontId="0" fillId="0" borderId="15" xfId="0" applyBorder="1"/>
    <xf numFmtId="0" fontId="0" fillId="0" borderId="26" xfId="0" applyBorder="1"/>
    <xf numFmtId="0" fontId="9" fillId="0" borderId="10" xfId="0" applyFont="1" applyBorder="1" applyAlignment="1">
      <alignment horizontal="center" vertical="center"/>
    </xf>
    <xf numFmtId="0" fontId="9" fillId="0" borderId="2" xfId="0" applyFont="1" applyBorder="1" applyAlignment="1">
      <alignment horizontal="center" vertical="center"/>
    </xf>
    <xf numFmtId="0" fontId="9" fillId="0" borderId="11" xfId="0" applyFont="1" applyBorder="1" applyAlignment="1">
      <alignment horizontal="center" vertical="center"/>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9" fillId="0" borderId="7" xfId="0" applyFont="1" applyBorder="1" applyAlignment="1">
      <alignment horizontal="center" vertical="center"/>
    </xf>
    <xf numFmtId="0" fontId="9" fillId="0" borderId="18"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6"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6" xfId="0" applyFont="1" applyBorder="1" applyAlignment="1">
      <alignment horizontal="center" vertical="center"/>
    </xf>
    <xf numFmtId="0" fontId="9" fillId="0" borderId="15" xfId="0" applyFont="1" applyBorder="1" applyAlignment="1">
      <alignment horizontal="center" vertical="center"/>
    </xf>
    <xf numFmtId="0" fontId="9" fillId="0" borderId="17"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51" xfId="0" applyFont="1" applyBorder="1" applyAlignment="1">
      <alignment horizontal="center" vertical="center"/>
    </xf>
    <xf numFmtId="0" fontId="9" fillId="0" borderId="34" xfId="0" applyFont="1" applyBorder="1" applyAlignment="1">
      <alignment horizontal="center" vertical="center"/>
    </xf>
    <xf numFmtId="0" fontId="9" fillId="0" borderId="54" xfId="0" applyFont="1" applyBorder="1" applyAlignment="1">
      <alignment horizontal="center" vertical="center"/>
    </xf>
    <xf numFmtId="0" fontId="9" fillId="0" borderId="36" xfId="0" applyFont="1" applyBorder="1" applyAlignment="1">
      <alignment horizontal="center" vertical="center" wrapText="1"/>
    </xf>
    <xf numFmtId="0" fontId="0" fillId="0" borderId="17" xfId="0" applyBorder="1"/>
    <xf numFmtId="0" fontId="9" fillId="0" borderId="36" xfId="0" applyFont="1" applyBorder="1" applyAlignment="1">
      <alignment horizontal="center" vertical="center"/>
    </xf>
    <xf numFmtId="0" fontId="11" fillId="9" borderId="3" xfId="0" applyFont="1" applyFill="1" applyBorder="1" applyAlignment="1">
      <alignment horizontal="center" vertical="center"/>
    </xf>
    <xf numFmtId="0" fontId="11" fillId="9" borderId="10" xfId="0" applyFont="1" applyFill="1" applyBorder="1" applyAlignment="1">
      <alignment horizontal="center" vertical="center"/>
    </xf>
    <xf numFmtId="0" fontId="11" fillId="9" borderId="10" xfId="0" applyFont="1" applyFill="1" applyBorder="1" applyAlignment="1">
      <alignment horizontal="center" vertical="center" wrapText="1"/>
    </xf>
    <xf numFmtId="0" fontId="11" fillId="9" borderId="4" xfId="0" applyFont="1" applyFill="1" applyBorder="1" applyAlignment="1">
      <alignment horizontal="center" vertical="center"/>
    </xf>
    <xf numFmtId="0" fontId="10" fillId="2" borderId="2" xfId="0" applyFont="1" applyFill="1" applyBorder="1" applyAlignment="1">
      <alignment horizontal="center" vertical="center"/>
    </xf>
    <xf numFmtId="0" fontId="9" fillId="0" borderId="2" xfId="0" quotePrefix="1" applyFont="1" applyBorder="1" applyAlignment="1">
      <alignment horizontal="center" vertical="center" wrapText="1"/>
    </xf>
    <xf numFmtId="0" fontId="9" fillId="0" borderId="11" xfId="0" quotePrefix="1" applyFont="1" applyBorder="1" applyAlignment="1">
      <alignment horizontal="center" vertical="center" wrapText="1"/>
    </xf>
    <xf numFmtId="0" fontId="9" fillId="0" borderId="13" xfId="0" applyFont="1" applyBorder="1" applyAlignment="1">
      <alignment horizontal="center" vertical="center"/>
    </xf>
    <xf numFmtId="0" fontId="9" fillId="0" borderId="13" xfId="0" applyFont="1" applyBorder="1" applyAlignment="1">
      <alignment vertical="center"/>
    </xf>
    <xf numFmtId="0" fontId="9" fillId="0" borderId="15" xfId="0" applyFont="1" applyBorder="1" applyAlignment="1">
      <alignment vertical="center"/>
    </xf>
    <xf numFmtId="0" fontId="9" fillId="0" borderId="17" xfId="0" applyFont="1" applyBorder="1" applyAlignment="1">
      <alignment vertical="center"/>
    </xf>
    <xf numFmtId="0" fontId="9" fillId="0" borderId="26" xfId="0" applyFont="1" applyBorder="1" applyAlignment="1">
      <alignment horizontal="center" vertical="center"/>
    </xf>
    <xf numFmtId="0" fontId="9" fillId="0" borderId="13" xfId="0" applyFont="1" applyBorder="1" applyAlignment="1">
      <alignment horizontal="center" vertical="center" wrapText="1"/>
    </xf>
    <xf numFmtId="0" fontId="9" fillId="0" borderId="26" xfId="0" applyFont="1" applyBorder="1" applyAlignment="1">
      <alignment horizontal="center" vertical="center" wrapText="1"/>
    </xf>
    <xf numFmtId="0" fontId="6" fillId="0" borderId="5" xfId="0" applyFont="1" applyBorder="1" applyAlignment="1">
      <alignment horizontal="center" vertical="center"/>
    </xf>
    <xf numFmtId="0" fontId="6" fillId="0" borderId="2" xfId="0" applyFont="1" applyBorder="1" applyAlignment="1">
      <alignment horizontal="center" vertical="center" wrapText="1"/>
    </xf>
    <xf numFmtId="0" fontId="7" fillId="0" borderId="1"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6" fillId="0" borderId="6" xfId="0" applyFont="1" applyBorder="1" applyAlignment="1">
      <alignment horizontal="center" vertical="center"/>
    </xf>
    <xf numFmtId="0" fontId="6" fillId="0" borderId="11" xfId="0" applyFont="1" applyBorder="1" applyAlignment="1">
      <alignment horizontal="center" vertical="center" wrapText="1"/>
    </xf>
    <xf numFmtId="0" fontId="6" fillId="0" borderId="11" xfId="0" applyFont="1" applyBorder="1" applyAlignment="1">
      <alignment horizontal="center" vertical="center"/>
    </xf>
    <xf numFmtId="0" fontId="6" fillId="0" borderId="7" xfId="0" applyFont="1" applyBorder="1" applyAlignment="1">
      <alignment horizontal="center" vertical="center"/>
    </xf>
    <xf numFmtId="0" fontId="1" fillId="0" borderId="2" xfId="0" applyFont="1" applyBorder="1" applyAlignment="1">
      <alignment horizontal="center" vertical="center"/>
    </xf>
    <xf numFmtId="0" fontId="4" fillId="3" borderId="10" xfId="0" applyFont="1" applyFill="1" applyBorder="1" applyAlignment="1">
      <alignment horizontal="center" vertical="center"/>
    </xf>
    <xf numFmtId="0" fontId="4" fillId="3" borderId="4" xfId="0" applyFont="1" applyFill="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26" xfId="0" applyFont="1" applyBorder="1" applyAlignment="1">
      <alignment horizontal="center" vertical="center"/>
    </xf>
    <xf numFmtId="0" fontId="6" fillId="0" borderId="13" xfId="0" applyFont="1" applyBorder="1" applyAlignment="1">
      <alignment horizontal="center" vertical="center" wrapText="1"/>
    </xf>
    <xf numFmtId="0" fontId="6" fillId="0" borderId="26" xfId="0" applyFont="1" applyBorder="1" applyAlignment="1">
      <alignment horizontal="center" vertical="center" wrapText="1"/>
    </xf>
    <xf numFmtId="0" fontId="8" fillId="4" borderId="31" xfId="0" applyFont="1" applyFill="1" applyBorder="1" applyAlignment="1">
      <alignment horizontal="center" vertical="center"/>
    </xf>
    <xf numFmtId="0" fontId="8" fillId="4" borderId="32" xfId="0" applyFont="1" applyFill="1" applyBorder="1" applyAlignment="1">
      <alignment horizontal="center" vertical="center"/>
    </xf>
    <xf numFmtId="0" fontId="8" fillId="4" borderId="33"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45" xfId="0" applyFont="1" applyFill="1" applyBorder="1" applyAlignment="1">
      <alignment horizontal="center" vertical="center"/>
    </xf>
    <xf numFmtId="0" fontId="5" fillId="4" borderId="32" xfId="0" applyFont="1" applyFill="1" applyBorder="1" applyAlignment="1">
      <alignment horizontal="left" vertical="center"/>
    </xf>
    <xf numFmtId="0" fontId="4" fillId="3" borderId="36" xfId="0" applyFont="1" applyFill="1" applyBorder="1" applyAlignment="1">
      <alignment horizontal="left" vertical="center"/>
    </xf>
  </cellXfs>
  <cellStyles count="2">
    <cellStyle name="Hyperlink" xfId="1" builtinId="8"/>
    <cellStyle name="Normal" xfId="0" builtinId="0"/>
  </cellStyles>
  <dxfs count="28">
    <dxf>
      <font>
        <b/>
        <i val="0"/>
      </font>
      <fill>
        <patternFill>
          <bgColor theme="9" tint="0.39994506668294322"/>
        </patternFill>
      </fill>
    </dxf>
    <dxf>
      <font>
        <b/>
        <i val="0"/>
      </font>
      <fill>
        <patternFill>
          <bgColor theme="5" tint="0.39994506668294322"/>
        </patternFill>
      </fill>
    </dxf>
    <dxf>
      <fill>
        <patternFill>
          <bgColor theme="9" tint="0.39994506668294322"/>
        </patternFill>
      </fill>
    </dxf>
    <dxf>
      <fill>
        <patternFill>
          <bgColor theme="5" tint="0.39994506668294322"/>
        </patternFill>
      </fill>
    </dxf>
    <dxf>
      <font>
        <b/>
        <i val="0"/>
      </font>
      <fill>
        <patternFill>
          <bgColor theme="9" tint="0.39994506668294322"/>
        </patternFill>
      </fill>
    </dxf>
    <dxf>
      <font>
        <b/>
        <i val="0"/>
      </font>
      <fill>
        <patternFill>
          <bgColor theme="5"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ont>
        <b/>
        <i val="0"/>
      </font>
      <fill>
        <patternFill>
          <bgColor theme="9" tint="0.39994506668294322"/>
        </patternFill>
      </fill>
    </dxf>
    <dxf>
      <font>
        <b/>
        <i val="0"/>
      </font>
      <fill>
        <patternFill>
          <bgColor theme="5" tint="0.39994506668294322"/>
        </patternFill>
      </fill>
    </dxf>
    <dxf>
      <font>
        <b/>
        <i val="0"/>
      </font>
      <fill>
        <patternFill>
          <bgColor theme="9" tint="0.39994506668294322"/>
        </patternFill>
      </fill>
    </dxf>
    <dxf>
      <font>
        <b/>
        <i val="0"/>
      </font>
      <fill>
        <patternFill>
          <bgColor theme="5" tint="0.39994506668294322"/>
        </patternFill>
      </fill>
    </dxf>
    <dxf>
      <font>
        <b/>
        <i val="0"/>
      </font>
      <fill>
        <patternFill>
          <bgColor theme="9" tint="0.39994506668294322"/>
        </patternFill>
      </fill>
    </dxf>
    <dxf>
      <font>
        <b/>
        <i val="0"/>
      </font>
      <fill>
        <patternFill>
          <bgColor theme="5" tint="0.39994506668294322"/>
        </patternFill>
      </fill>
    </dxf>
    <dxf>
      <font>
        <b/>
        <i val="0"/>
      </font>
      <fill>
        <patternFill>
          <bgColor theme="9" tint="0.39994506668294322"/>
        </patternFill>
      </fill>
    </dxf>
    <dxf>
      <font>
        <b/>
        <i val="0"/>
      </font>
      <fill>
        <patternFill>
          <bgColor theme="5" tint="0.39994506668294322"/>
        </patternFill>
      </fill>
    </dxf>
    <dxf>
      <fill>
        <patternFill>
          <bgColor theme="9" tint="0.39994506668294322"/>
        </patternFill>
      </fill>
    </dxf>
    <dxf>
      <fill>
        <patternFill>
          <bgColor theme="5" tint="0.39994506668294322"/>
        </patternFill>
      </fill>
    </dxf>
    <dxf>
      <font>
        <b/>
        <i val="0"/>
      </font>
      <fill>
        <patternFill>
          <bgColor theme="9" tint="0.39994506668294322"/>
        </patternFill>
      </fill>
    </dxf>
    <dxf>
      <font>
        <b/>
        <i val="0"/>
      </font>
      <fill>
        <patternFill>
          <bgColor theme="5" tint="0.39994506668294322"/>
        </patternFill>
      </fill>
    </dxf>
    <dxf>
      <font>
        <b/>
        <i val="0"/>
      </font>
      <fill>
        <patternFill>
          <bgColor theme="9" tint="0.39994506668294322"/>
        </patternFill>
      </fill>
    </dxf>
    <dxf>
      <font>
        <b/>
        <i val="0"/>
      </font>
      <fill>
        <patternFill>
          <bgColor theme="5" tint="0.39994506668294322"/>
        </patternFill>
      </fill>
    </dxf>
    <dxf>
      <font>
        <b/>
        <i val="0"/>
      </font>
      <fill>
        <patternFill>
          <bgColor theme="9" tint="0.39994506668294322"/>
        </patternFill>
      </fill>
    </dxf>
    <dxf>
      <font>
        <b/>
        <i val="0"/>
      </font>
      <fill>
        <patternFill>
          <bgColor theme="5" tint="0.39994506668294322"/>
        </patternFill>
      </fill>
    </dxf>
    <dxf>
      <fill>
        <patternFill>
          <bgColor theme="9" tint="0.59996337778862885"/>
        </patternFill>
      </fill>
    </dxf>
    <dxf>
      <fill>
        <patternFill>
          <bgColor theme="5" tint="0.59996337778862885"/>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526675</xdr:colOff>
      <xdr:row>27</xdr:row>
      <xdr:rowOff>78441</xdr:rowOff>
    </xdr:from>
    <xdr:to>
      <xdr:col>5</xdr:col>
      <xdr:colOff>417406</xdr:colOff>
      <xdr:row>56</xdr:row>
      <xdr:rowOff>120929</xdr:rowOff>
    </xdr:to>
    <xdr:pic>
      <xdr:nvPicPr>
        <xdr:cNvPr id="2" name="Picture 1">
          <a:extLst>
            <a:ext uri="{FF2B5EF4-FFF2-40B4-BE49-F238E27FC236}">
              <a16:creationId xmlns:a16="http://schemas.microsoft.com/office/drawing/2014/main" id="{8127744F-86BA-C3C1-44B6-296A424BE828}"/>
            </a:ext>
          </a:extLst>
        </xdr:cNvPr>
        <xdr:cNvPicPr>
          <a:picLocks noChangeAspect="1"/>
        </xdr:cNvPicPr>
      </xdr:nvPicPr>
      <xdr:blipFill>
        <a:blip xmlns:r="http://schemas.openxmlformats.org/officeDocument/2006/relationships" r:embed="rId1"/>
        <a:stretch>
          <a:fillRect/>
        </a:stretch>
      </xdr:blipFill>
      <xdr:spPr>
        <a:xfrm>
          <a:off x="1131793" y="6208059"/>
          <a:ext cx="3913642" cy="5387694"/>
        </a:xfrm>
        <a:prstGeom prst="rect">
          <a:avLst/>
        </a:prstGeom>
        <a:ln w="127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quastechproject.com/projects/frontaccounting/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8:AW36"/>
  <sheetViews>
    <sheetView tabSelected="1" topLeftCell="A15" zoomScale="68" zoomScaleNormal="100" workbookViewId="0">
      <selection activeCell="I46" sqref="I46"/>
    </sheetView>
  </sheetViews>
  <sheetFormatPr defaultRowHeight="14.4" x14ac:dyDescent="0.3"/>
  <cols>
    <col min="1" max="2" width="8.88671875" style="1"/>
    <col min="3" max="3" width="13.33203125" style="1" customWidth="1"/>
    <col min="4" max="4" width="27.6640625" style="1" bestFit="1" customWidth="1"/>
    <col min="5" max="7" width="8.88671875" style="1"/>
    <col min="8" max="8" width="17.109375" style="1" customWidth="1"/>
    <col min="9" max="9" width="73.33203125" style="1" customWidth="1"/>
    <col min="10" max="10" width="54.88671875" style="1" bestFit="1" customWidth="1"/>
    <col min="11" max="33" width="8.88671875" style="1"/>
    <col min="34" max="34" width="18" style="1" bestFit="1" customWidth="1"/>
    <col min="35" max="38" width="8.88671875" style="1"/>
    <col min="39" max="39" width="19.88671875" style="1" bestFit="1" customWidth="1"/>
    <col min="40" max="40" width="25.88671875" style="1" bestFit="1" customWidth="1"/>
    <col min="41" max="41" width="8.88671875" style="1"/>
    <col min="42" max="42" width="32.77734375" style="1" bestFit="1" customWidth="1"/>
    <col min="43" max="16384" width="8.88671875" style="1"/>
  </cols>
  <sheetData>
    <row r="8" spans="3:49" ht="15" thickBot="1" x14ac:dyDescent="0.35"/>
    <row r="9" spans="3:49" x14ac:dyDescent="0.3">
      <c r="I9" s="6" t="s">
        <v>0</v>
      </c>
      <c r="J9" s="7" t="s">
        <v>1</v>
      </c>
    </row>
    <row r="10" spans="3:49" x14ac:dyDescent="0.3">
      <c r="I10" s="8" t="s">
        <v>2</v>
      </c>
      <c r="J10" s="2" t="s">
        <v>3</v>
      </c>
    </row>
    <row r="11" spans="3:49" x14ac:dyDescent="0.3">
      <c r="I11" s="8"/>
      <c r="J11" s="9"/>
    </row>
    <row r="12" spans="3:49" ht="86.4" x14ac:dyDescent="0.3">
      <c r="I12" s="8" t="s">
        <v>4</v>
      </c>
      <c r="J12" s="10" t="s">
        <v>5</v>
      </c>
    </row>
    <row r="13" spans="3:49" ht="15" thickBot="1" x14ac:dyDescent="0.35">
      <c r="I13" s="11" t="s">
        <v>6</v>
      </c>
      <c r="J13" s="12" t="s">
        <v>14</v>
      </c>
    </row>
    <row r="15" spans="3:49" ht="15" thickBot="1" x14ac:dyDescent="0.35">
      <c r="AH15" s="1" t="s">
        <v>154</v>
      </c>
      <c r="AI15" s="1" t="s">
        <v>155</v>
      </c>
      <c r="AM15" s="1" t="s">
        <v>161</v>
      </c>
      <c r="AN15" s="1" t="s">
        <v>176</v>
      </c>
      <c r="AP15" s="1" t="s">
        <v>171</v>
      </c>
      <c r="AR15" s="1" t="s">
        <v>269</v>
      </c>
      <c r="AW15" s="1" t="s">
        <v>486</v>
      </c>
    </row>
    <row r="16" spans="3:49" ht="15" thickBot="1" x14ac:dyDescent="0.35">
      <c r="C16" s="193" t="s">
        <v>7</v>
      </c>
      <c r="D16" s="58" t="s">
        <v>8</v>
      </c>
      <c r="H16" s="194" t="s">
        <v>480</v>
      </c>
      <c r="I16" s="89" t="s">
        <v>8</v>
      </c>
      <c r="AR16" s="1" t="s">
        <v>270</v>
      </c>
      <c r="AW16" s="1" t="s">
        <v>487</v>
      </c>
    </row>
    <row r="17" spans="2:49" ht="15" thickBot="1" x14ac:dyDescent="0.35">
      <c r="C17" s="193"/>
      <c r="D17" s="59" t="s">
        <v>9</v>
      </c>
      <c r="H17" s="195"/>
      <c r="I17" s="9" t="s">
        <v>482</v>
      </c>
      <c r="AH17" s="1" t="s">
        <v>128</v>
      </c>
      <c r="AI17" s="1" t="s">
        <v>156</v>
      </c>
      <c r="AM17" s="1" t="s">
        <v>162</v>
      </c>
      <c r="AN17" s="1" t="s">
        <v>97</v>
      </c>
      <c r="AP17" s="1" t="s">
        <v>172</v>
      </c>
      <c r="AR17" s="1" t="s">
        <v>271</v>
      </c>
      <c r="AW17" s="1" t="s">
        <v>488</v>
      </c>
    </row>
    <row r="18" spans="2:49" ht="34.200000000000003" customHeight="1" thickBot="1" x14ac:dyDescent="0.35">
      <c r="C18" s="193"/>
      <c r="D18" s="59" t="s">
        <v>10</v>
      </c>
      <c r="H18" s="195"/>
      <c r="I18" s="10" t="s">
        <v>483</v>
      </c>
      <c r="AH18" s="1" t="s">
        <v>91</v>
      </c>
      <c r="AI18" s="1" t="s">
        <v>157</v>
      </c>
      <c r="AM18" s="1" t="s">
        <v>96</v>
      </c>
      <c r="AN18" s="1" t="s">
        <v>121</v>
      </c>
      <c r="AP18" s="1" t="s">
        <v>173</v>
      </c>
      <c r="AR18" s="1" t="s">
        <v>272</v>
      </c>
      <c r="AW18" s="1" t="s">
        <v>489</v>
      </c>
    </row>
    <row r="19" spans="2:49" ht="15" thickBot="1" x14ac:dyDescent="0.35">
      <c r="C19" s="193"/>
      <c r="D19" s="59" t="s">
        <v>11</v>
      </c>
      <c r="H19" s="195"/>
      <c r="I19" s="9" t="s">
        <v>484</v>
      </c>
      <c r="AH19" s="1" t="s">
        <v>153</v>
      </c>
      <c r="AI19" s="1" t="s">
        <v>158</v>
      </c>
      <c r="AM19" s="1" t="s">
        <v>163</v>
      </c>
      <c r="AN19" s="1" t="s">
        <v>100</v>
      </c>
      <c r="AP19" s="1" t="s">
        <v>174</v>
      </c>
      <c r="AR19" s="1" t="s">
        <v>273</v>
      </c>
      <c r="AW19" s="1" t="s">
        <v>490</v>
      </c>
    </row>
    <row r="20" spans="2:49" ht="15" thickBot="1" x14ac:dyDescent="0.35">
      <c r="C20" s="193"/>
      <c r="D20" s="59" t="s">
        <v>12</v>
      </c>
      <c r="H20" s="196"/>
      <c r="I20" s="12" t="s">
        <v>485</v>
      </c>
      <c r="AH20" s="1" t="s">
        <v>139</v>
      </c>
      <c r="AI20" s="1" t="s">
        <v>159</v>
      </c>
      <c r="AM20" s="1" t="s">
        <v>164</v>
      </c>
      <c r="AN20" s="1" t="s">
        <v>177</v>
      </c>
      <c r="AP20" s="1" t="s">
        <v>175</v>
      </c>
      <c r="AR20" s="1" t="s">
        <v>274</v>
      </c>
    </row>
    <row r="21" spans="2:49" x14ac:dyDescent="0.3">
      <c r="B21" s="57"/>
      <c r="C21" s="193"/>
      <c r="D21" s="60" t="s">
        <v>13</v>
      </c>
      <c r="E21" s="57"/>
      <c r="F21" s="57"/>
      <c r="G21" s="57"/>
      <c r="H21" s="57"/>
      <c r="AI21" s="1" t="s">
        <v>160</v>
      </c>
      <c r="AM21" s="1" t="s">
        <v>165</v>
      </c>
      <c r="AN21" s="1" t="s">
        <v>178</v>
      </c>
      <c r="AP21" s="1" t="s">
        <v>97</v>
      </c>
    </row>
    <row r="22" spans="2:49" ht="15" thickBot="1" x14ac:dyDescent="0.35">
      <c r="AM22" s="1" t="s">
        <v>166</v>
      </c>
    </row>
    <row r="23" spans="2:49" x14ac:dyDescent="0.3">
      <c r="C23" s="197" t="s">
        <v>650</v>
      </c>
      <c r="D23" s="89" t="s">
        <v>8</v>
      </c>
      <c r="AM23" s="1" t="s">
        <v>167</v>
      </c>
    </row>
    <row r="24" spans="2:49" ht="15" customHeight="1" x14ac:dyDescent="0.3">
      <c r="C24" s="198"/>
      <c r="D24" s="9" t="s">
        <v>667</v>
      </c>
      <c r="H24" s="144" t="s">
        <v>998</v>
      </c>
      <c r="I24" s="200" t="s">
        <v>999</v>
      </c>
      <c r="J24" s="200"/>
      <c r="AM24" s="1" t="s">
        <v>168</v>
      </c>
    </row>
    <row r="25" spans="2:49" ht="14.4" customHeight="1" x14ac:dyDescent="0.3">
      <c r="C25" s="198"/>
      <c r="D25" s="10" t="s">
        <v>997</v>
      </c>
      <c r="I25" s="200"/>
      <c r="J25" s="200"/>
      <c r="AM25" s="1" t="s">
        <v>169</v>
      </c>
    </row>
    <row r="26" spans="2:49" ht="15" customHeight="1" thickBot="1" x14ac:dyDescent="0.35">
      <c r="C26" s="199"/>
      <c r="D26" s="12" t="s">
        <v>996</v>
      </c>
      <c r="I26" s="200"/>
      <c r="J26" s="200"/>
      <c r="AM26" s="1" t="s">
        <v>170</v>
      </c>
    </row>
    <row r="27" spans="2:49" ht="14.4" customHeight="1" x14ac:dyDescent="0.3">
      <c r="I27" s="200"/>
      <c r="J27" s="200"/>
    </row>
    <row r="28" spans="2:49" ht="14.4" customHeight="1" x14ac:dyDescent="0.3">
      <c r="I28" s="200"/>
      <c r="J28" s="200"/>
    </row>
    <row r="29" spans="2:49" ht="14.4" customHeight="1" x14ac:dyDescent="0.3">
      <c r="I29" s="200"/>
      <c r="J29" s="200"/>
    </row>
    <row r="30" spans="2:49" ht="14.4" customHeight="1" x14ac:dyDescent="0.3">
      <c r="I30" s="200"/>
      <c r="J30" s="200"/>
    </row>
    <row r="31" spans="2:49" ht="14.4" customHeight="1" x14ac:dyDescent="0.3">
      <c r="I31" s="200"/>
      <c r="J31" s="200"/>
    </row>
    <row r="32" spans="2:49" ht="25.2" customHeight="1" x14ac:dyDescent="0.3">
      <c r="I32" s="200"/>
      <c r="J32" s="200"/>
    </row>
    <row r="33" spans="9:10" ht="14.4" customHeight="1" x14ac:dyDescent="0.3">
      <c r="I33" s="143"/>
      <c r="J33" s="143"/>
    </row>
    <row r="34" spans="9:10" ht="14.4" customHeight="1" x14ac:dyDescent="0.3">
      <c r="I34" s="143"/>
      <c r="J34" s="143"/>
    </row>
    <row r="35" spans="9:10" ht="14.4" customHeight="1" x14ac:dyDescent="0.3">
      <c r="I35" s="143"/>
      <c r="J35" s="143"/>
    </row>
    <row r="36" spans="9:10" ht="14.4" customHeight="1" x14ac:dyDescent="0.3">
      <c r="I36" s="143"/>
      <c r="J36" s="143"/>
    </row>
  </sheetData>
  <mergeCells count="4">
    <mergeCell ref="C16:C21"/>
    <mergeCell ref="H16:H20"/>
    <mergeCell ref="C23:C26"/>
    <mergeCell ref="I24:J32"/>
  </mergeCells>
  <hyperlinks>
    <hyperlink ref="J10" r:id="rId1" xr:uid="{76A51094-A9C2-4485-B6AD-A3618F31D3B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A9DA-2F17-4EED-9A89-328F74914C2A}">
  <sheetPr codeName="Sheet2"/>
  <dimension ref="A1:E119"/>
  <sheetViews>
    <sheetView zoomScale="98" workbookViewId="0">
      <pane xSplit="1" ySplit="2" topLeftCell="D3" activePane="bottomRight" state="frozen"/>
      <selection pane="topRight" activeCell="B1" sqref="B1"/>
      <selection pane="bottomLeft" activeCell="A3" sqref="A3"/>
      <selection pane="bottomRight" activeCell="G112" sqref="G112"/>
    </sheetView>
  </sheetViews>
  <sheetFormatPr defaultRowHeight="14.4" x14ac:dyDescent="0.3"/>
  <cols>
    <col min="1" max="1" width="8.109375" style="1" customWidth="1"/>
    <col min="2" max="2" width="12.6640625" style="3" customWidth="1"/>
    <col min="3" max="3" width="23.77734375" style="3" customWidth="1"/>
    <col min="4" max="4" width="33.21875" style="3" customWidth="1"/>
    <col min="5" max="5" width="67.44140625" style="29" customWidth="1"/>
    <col min="6" max="16384" width="8.88671875" style="1"/>
  </cols>
  <sheetData>
    <row r="1" spans="1:5" x14ac:dyDescent="0.3">
      <c r="A1" s="209" t="s">
        <v>67</v>
      </c>
      <c r="B1" s="210"/>
      <c r="C1" s="210"/>
      <c r="D1" s="210"/>
      <c r="E1" s="211"/>
    </row>
    <row r="2" spans="1:5" ht="15" thickBot="1" x14ac:dyDescent="0.35">
      <c r="A2" s="75" t="s">
        <v>15</v>
      </c>
      <c r="B2" s="76" t="s">
        <v>16</v>
      </c>
      <c r="C2" s="76" t="s">
        <v>17</v>
      </c>
      <c r="D2" s="76" t="s">
        <v>18</v>
      </c>
      <c r="E2" s="78" t="s">
        <v>19</v>
      </c>
    </row>
    <row r="3" spans="1:5" ht="15" thickBot="1" x14ac:dyDescent="0.35">
      <c r="A3" s="213" t="s">
        <v>21</v>
      </c>
      <c r="B3" s="214"/>
      <c r="C3" s="214"/>
      <c r="D3" s="214"/>
      <c r="E3" s="215"/>
    </row>
    <row r="4" spans="1:5" ht="16.8" customHeight="1" x14ac:dyDescent="0.3">
      <c r="A4" s="212" t="s">
        <v>20</v>
      </c>
      <c r="B4" s="201" t="s">
        <v>21</v>
      </c>
      <c r="C4" s="201" t="s">
        <v>824</v>
      </c>
      <c r="D4" s="201" t="s">
        <v>22</v>
      </c>
      <c r="E4" s="77" t="s">
        <v>334</v>
      </c>
    </row>
    <row r="5" spans="1:5" x14ac:dyDescent="0.3">
      <c r="A5" s="158"/>
      <c r="B5" s="161"/>
      <c r="C5" s="161"/>
      <c r="D5" s="161"/>
      <c r="E5" s="27" t="s">
        <v>335</v>
      </c>
    </row>
    <row r="6" spans="1:5" x14ac:dyDescent="0.3">
      <c r="A6" s="158"/>
      <c r="B6" s="161"/>
      <c r="C6" s="161"/>
      <c r="D6" s="161"/>
      <c r="E6" s="27" t="s">
        <v>336</v>
      </c>
    </row>
    <row r="7" spans="1:5" x14ac:dyDescent="0.3">
      <c r="A7" s="158"/>
      <c r="B7" s="161"/>
      <c r="C7" s="161"/>
      <c r="D7" s="161"/>
      <c r="E7" s="27" t="s">
        <v>337</v>
      </c>
    </row>
    <row r="8" spans="1:5" x14ac:dyDescent="0.3">
      <c r="A8" s="158"/>
      <c r="B8" s="161"/>
      <c r="C8" s="161"/>
      <c r="D8" s="161"/>
      <c r="E8" s="27" t="s">
        <v>338</v>
      </c>
    </row>
    <row r="9" spans="1:5" ht="15" thickBot="1" x14ac:dyDescent="0.35">
      <c r="A9" s="166"/>
      <c r="B9" s="167"/>
      <c r="C9" s="167"/>
      <c r="D9" s="167"/>
      <c r="E9" s="28" t="s">
        <v>339</v>
      </c>
    </row>
    <row r="10" spans="1:5" ht="15" thickBot="1" x14ac:dyDescent="0.35">
      <c r="A10" s="213" t="s">
        <v>432</v>
      </c>
      <c r="B10" s="214"/>
      <c r="C10" s="214"/>
      <c r="D10" s="214"/>
      <c r="E10" s="215"/>
    </row>
    <row r="11" spans="1:5" ht="14.4" customHeight="1" x14ac:dyDescent="0.3">
      <c r="A11" s="184" t="s">
        <v>68</v>
      </c>
      <c r="B11" s="181" t="s">
        <v>69</v>
      </c>
      <c r="C11" s="181" t="s">
        <v>825</v>
      </c>
      <c r="D11" s="206" t="s">
        <v>70</v>
      </c>
      <c r="E11" s="24" t="s">
        <v>340</v>
      </c>
    </row>
    <row r="12" spans="1:5" x14ac:dyDescent="0.3">
      <c r="A12" s="185"/>
      <c r="B12" s="182"/>
      <c r="C12" s="182"/>
      <c r="D12" s="207"/>
      <c r="E12" s="27" t="s">
        <v>341</v>
      </c>
    </row>
    <row r="13" spans="1:5" x14ac:dyDescent="0.3">
      <c r="A13" s="185"/>
      <c r="B13" s="182"/>
      <c r="C13" s="182"/>
      <c r="D13" s="207"/>
      <c r="E13" s="27" t="s">
        <v>342</v>
      </c>
    </row>
    <row r="14" spans="1:5" x14ac:dyDescent="0.3">
      <c r="A14" s="185"/>
      <c r="B14" s="182"/>
      <c r="C14" s="182"/>
      <c r="D14" s="207"/>
      <c r="E14" s="27" t="s">
        <v>343</v>
      </c>
    </row>
    <row r="15" spans="1:5" x14ac:dyDescent="0.3">
      <c r="A15" s="185"/>
      <c r="B15" s="182"/>
      <c r="C15" s="182"/>
      <c r="D15" s="207"/>
      <c r="E15" s="27" t="s">
        <v>344</v>
      </c>
    </row>
    <row r="16" spans="1:5" x14ac:dyDescent="0.3">
      <c r="A16" s="185"/>
      <c r="B16" s="182"/>
      <c r="C16" s="182"/>
      <c r="D16" s="207"/>
      <c r="E16" s="27" t="s">
        <v>345</v>
      </c>
    </row>
    <row r="17" spans="1:5" x14ac:dyDescent="0.3">
      <c r="A17" s="185"/>
      <c r="B17" s="182"/>
      <c r="C17" s="182"/>
      <c r="D17" s="207"/>
      <c r="E17" s="27" t="s">
        <v>346</v>
      </c>
    </row>
    <row r="18" spans="1:5" x14ac:dyDescent="0.3">
      <c r="A18" s="185"/>
      <c r="B18" s="182"/>
      <c r="C18" s="182"/>
      <c r="D18" s="207"/>
      <c r="E18" s="27" t="s">
        <v>347</v>
      </c>
    </row>
    <row r="19" spans="1:5" x14ac:dyDescent="0.3">
      <c r="A19" s="185"/>
      <c r="B19" s="182"/>
      <c r="C19" s="182"/>
      <c r="D19" s="207"/>
      <c r="E19" s="27" t="s">
        <v>348</v>
      </c>
    </row>
    <row r="20" spans="1:5" x14ac:dyDescent="0.3">
      <c r="A20" s="185"/>
      <c r="B20" s="182"/>
      <c r="C20" s="182"/>
      <c r="D20" s="207"/>
      <c r="E20" s="27" t="s">
        <v>349</v>
      </c>
    </row>
    <row r="21" spans="1:5" x14ac:dyDescent="0.3">
      <c r="A21" s="185"/>
      <c r="B21" s="182"/>
      <c r="C21" s="182"/>
      <c r="D21" s="207"/>
      <c r="E21" s="28" t="s">
        <v>350</v>
      </c>
    </row>
    <row r="22" spans="1:5" ht="29.4" thickBot="1" x14ac:dyDescent="0.35">
      <c r="A22" s="185"/>
      <c r="B22" s="182"/>
      <c r="C22" s="182"/>
      <c r="D22" s="207"/>
      <c r="E22" s="28" t="s">
        <v>351</v>
      </c>
    </row>
    <row r="23" spans="1:5" ht="28.8" x14ac:dyDescent="0.3">
      <c r="A23" s="185"/>
      <c r="B23" s="182"/>
      <c r="C23" s="182"/>
      <c r="D23" s="207"/>
      <c r="E23" s="30" t="s">
        <v>352</v>
      </c>
    </row>
    <row r="24" spans="1:5" x14ac:dyDescent="0.3">
      <c r="A24" s="185"/>
      <c r="B24" s="182"/>
      <c r="C24" s="182"/>
      <c r="D24" s="207"/>
      <c r="E24" s="32" t="s">
        <v>353</v>
      </c>
    </row>
    <row r="25" spans="1:5" ht="29.4" thickBot="1" x14ac:dyDescent="0.35">
      <c r="A25" s="185"/>
      <c r="B25" s="182"/>
      <c r="C25" s="182"/>
      <c r="D25" s="207"/>
      <c r="E25" s="31" t="s">
        <v>354</v>
      </c>
    </row>
    <row r="26" spans="1:5" ht="15" thickBot="1" x14ac:dyDescent="0.35">
      <c r="A26" s="186"/>
      <c r="B26" s="183"/>
      <c r="C26" s="183"/>
      <c r="D26" s="208"/>
      <c r="E26" s="44" t="s">
        <v>355</v>
      </c>
    </row>
    <row r="27" spans="1:5" ht="19.8" customHeight="1" x14ac:dyDescent="0.3">
      <c r="A27" s="157" t="s">
        <v>71</v>
      </c>
      <c r="B27" s="160" t="s">
        <v>72</v>
      </c>
      <c r="C27" s="160" t="s">
        <v>826</v>
      </c>
      <c r="D27" s="172" t="s">
        <v>70</v>
      </c>
      <c r="E27" s="30" t="s">
        <v>356</v>
      </c>
    </row>
    <row r="28" spans="1:5" ht="24" customHeight="1" thickBot="1" x14ac:dyDescent="0.35">
      <c r="A28" s="159"/>
      <c r="B28" s="162"/>
      <c r="C28" s="162"/>
      <c r="D28" s="174"/>
      <c r="E28" s="31" t="s">
        <v>357</v>
      </c>
    </row>
    <row r="29" spans="1:5" x14ac:dyDescent="0.3">
      <c r="A29" s="184" t="s">
        <v>250</v>
      </c>
      <c r="B29" s="181" t="s">
        <v>252</v>
      </c>
      <c r="C29" s="181" t="s">
        <v>827</v>
      </c>
      <c r="D29" s="206" t="s">
        <v>253</v>
      </c>
      <c r="E29" s="24" t="s">
        <v>358</v>
      </c>
    </row>
    <row r="30" spans="1:5" x14ac:dyDescent="0.3">
      <c r="A30" s="185"/>
      <c r="B30" s="182"/>
      <c r="C30" s="182"/>
      <c r="D30" s="207"/>
      <c r="E30" s="27" t="s">
        <v>359</v>
      </c>
    </row>
    <row r="31" spans="1:5" x14ac:dyDescent="0.3">
      <c r="A31" s="185"/>
      <c r="B31" s="182"/>
      <c r="C31" s="182"/>
      <c r="D31" s="207"/>
      <c r="E31" s="27" t="s">
        <v>360</v>
      </c>
    </row>
    <row r="32" spans="1:5" x14ac:dyDescent="0.3">
      <c r="A32" s="185"/>
      <c r="B32" s="182"/>
      <c r="C32" s="182"/>
      <c r="D32" s="207"/>
      <c r="E32" s="27" t="s">
        <v>361</v>
      </c>
    </row>
    <row r="33" spans="1:5" x14ac:dyDescent="0.3">
      <c r="A33" s="185"/>
      <c r="B33" s="182"/>
      <c r="C33" s="182"/>
      <c r="D33" s="207"/>
      <c r="E33" s="27" t="s">
        <v>362</v>
      </c>
    </row>
    <row r="34" spans="1:5" x14ac:dyDescent="0.3">
      <c r="A34" s="185"/>
      <c r="B34" s="182"/>
      <c r="C34" s="182"/>
      <c r="D34" s="207"/>
      <c r="E34" s="27" t="s">
        <v>363</v>
      </c>
    </row>
    <row r="35" spans="1:5" x14ac:dyDescent="0.3">
      <c r="A35" s="185"/>
      <c r="B35" s="182"/>
      <c r="C35" s="182"/>
      <c r="D35" s="207"/>
      <c r="E35" s="27" t="s">
        <v>364</v>
      </c>
    </row>
    <row r="36" spans="1:5" x14ac:dyDescent="0.3">
      <c r="A36" s="185"/>
      <c r="B36" s="182"/>
      <c r="C36" s="182"/>
      <c r="D36" s="207"/>
      <c r="E36" s="27" t="s">
        <v>365</v>
      </c>
    </row>
    <row r="37" spans="1:5" x14ac:dyDescent="0.3">
      <c r="A37" s="185"/>
      <c r="B37" s="182"/>
      <c r="C37" s="182"/>
      <c r="D37" s="207"/>
      <c r="E37" s="27" t="s">
        <v>366</v>
      </c>
    </row>
    <row r="38" spans="1:5" x14ac:dyDescent="0.3">
      <c r="A38" s="185"/>
      <c r="B38" s="182"/>
      <c r="C38" s="182"/>
      <c r="D38" s="207"/>
      <c r="E38" s="27" t="s">
        <v>367</v>
      </c>
    </row>
    <row r="39" spans="1:5" ht="15" thickBot="1" x14ac:dyDescent="0.35">
      <c r="A39" s="186"/>
      <c r="B39" s="183"/>
      <c r="C39" s="183"/>
      <c r="D39" s="208"/>
      <c r="E39" s="44" t="s">
        <v>423</v>
      </c>
    </row>
    <row r="40" spans="1:5" ht="25.2" customHeight="1" x14ac:dyDescent="0.3">
      <c r="A40" s="157" t="s">
        <v>251</v>
      </c>
      <c r="B40" s="160" t="s">
        <v>254</v>
      </c>
      <c r="C40" s="160" t="s">
        <v>828</v>
      </c>
      <c r="D40" s="172" t="s">
        <v>253</v>
      </c>
      <c r="E40" s="30" t="s">
        <v>368</v>
      </c>
    </row>
    <row r="41" spans="1:5" ht="24" customHeight="1" thickBot="1" x14ac:dyDescent="0.35">
      <c r="A41" s="166"/>
      <c r="B41" s="167"/>
      <c r="C41" s="167"/>
      <c r="D41" s="205"/>
      <c r="E41" s="53" t="s">
        <v>369</v>
      </c>
    </row>
    <row r="42" spans="1:5" x14ac:dyDescent="0.3">
      <c r="A42" s="157" t="s">
        <v>255</v>
      </c>
      <c r="B42" s="160" t="s">
        <v>256</v>
      </c>
      <c r="C42" s="160" t="s">
        <v>829</v>
      </c>
      <c r="D42" s="160" t="s">
        <v>257</v>
      </c>
      <c r="E42" s="24" t="s">
        <v>655</v>
      </c>
    </row>
    <row r="43" spans="1:5" ht="28.2" customHeight="1" x14ac:dyDescent="0.3">
      <c r="A43" s="158"/>
      <c r="B43" s="161"/>
      <c r="C43" s="161"/>
      <c r="D43" s="161"/>
      <c r="E43" s="27" t="s">
        <v>370</v>
      </c>
    </row>
    <row r="44" spans="1:5" ht="15" thickBot="1" x14ac:dyDescent="0.35">
      <c r="A44" s="159"/>
      <c r="B44" s="162"/>
      <c r="C44" s="162"/>
      <c r="D44" s="162"/>
      <c r="E44" s="55" t="s">
        <v>371</v>
      </c>
    </row>
    <row r="45" spans="1:5" ht="30.6" customHeight="1" x14ac:dyDescent="0.3">
      <c r="A45" s="204" t="s">
        <v>258</v>
      </c>
      <c r="B45" s="201" t="s">
        <v>259</v>
      </c>
      <c r="C45" s="201" t="s">
        <v>830</v>
      </c>
      <c r="D45" s="201" t="s">
        <v>257</v>
      </c>
      <c r="E45" s="61" t="s">
        <v>372</v>
      </c>
    </row>
    <row r="46" spans="1:5" ht="30" customHeight="1" thickBot="1" x14ac:dyDescent="0.35">
      <c r="A46" s="202"/>
      <c r="B46" s="167"/>
      <c r="C46" s="167"/>
      <c r="D46" s="167"/>
      <c r="E46" s="56" t="s">
        <v>373</v>
      </c>
    </row>
    <row r="47" spans="1:5" ht="19.2" customHeight="1" x14ac:dyDescent="0.3">
      <c r="A47" s="157" t="s">
        <v>260</v>
      </c>
      <c r="B47" s="160" t="s">
        <v>261</v>
      </c>
      <c r="C47" s="160" t="s">
        <v>831</v>
      </c>
      <c r="D47" s="160" t="s">
        <v>257</v>
      </c>
      <c r="E47" s="24" t="s">
        <v>374</v>
      </c>
    </row>
    <row r="48" spans="1:5" x14ac:dyDescent="0.3">
      <c r="A48" s="158"/>
      <c r="B48" s="161"/>
      <c r="C48" s="161"/>
      <c r="D48" s="161"/>
      <c r="E48" s="27" t="s">
        <v>375</v>
      </c>
    </row>
    <row r="49" spans="1:5" x14ac:dyDescent="0.3">
      <c r="A49" s="158"/>
      <c r="B49" s="161"/>
      <c r="C49" s="161"/>
      <c r="D49" s="161"/>
      <c r="E49" s="27" t="s">
        <v>656</v>
      </c>
    </row>
    <row r="50" spans="1:5" x14ac:dyDescent="0.3">
      <c r="A50" s="158"/>
      <c r="B50" s="161"/>
      <c r="C50" s="161"/>
      <c r="D50" s="161"/>
      <c r="E50" s="27" t="s">
        <v>376</v>
      </c>
    </row>
    <row r="51" spans="1:5" ht="29.4" thickBot="1" x14ac:dyDescent="0.35">
      <c r="A51" s="166"/>
      <c r="B51" s="167"/>
      <c r="C51" s="167"/>
      <c r="D51" s="167"/>
      <c r="E51" s="28" t="s">
        <v>377</v>
      </c>
    </row>
    <row r="52" spans="1:5" ht="18.600000000000001" customHeight="1" x14ac:dyDescent="0.3">
      <c r="A52" s="157" t="s">
        <v>379</v>
      </c>
      <c r="B52" s="160" t="s">
        <v>256</v>
      </c>
      <c r="C52" s="160" t="s">
        <v>829</v>
      </c>
      <c r="D52" s="160" t="s">
        <v>380</v>
      </c>
      <c r="E52" s="24" t="s">
        <v>655</v>
      </c>
    </row>
    <row r="53" spans="1:5" ht="26.4" customHeight="1" thickBot="1" x14ac:dyDescent="0.35">
      <c r="A53" s="166"/>
      <c r="B53" s="167"/>
      <c r="C53" s="167"/>
      <c r="D53" s="167"/>
      <c r="E53" s="28" t="s">
        <v>398</v>
      </c>
    </row>
    <row r="54" spans="1:5" ht="17.399999999999999" customHeight="1" x14ac:dyDescent="0.3">
      <c r="A54" s="157" t="s">
        <v>381</v>
      </c>
      <c r="B54" s="160" t="s">
        <v>382</v>
      </c>
      <c r="C54" s="160" t="s">
        <v>832</v>
      </c>
      <c r="D54" s="160" t="s">
        <v>380</v>
      </c>
      <c r="E54" s="24" t="s">
        <v>657</v>
      </c>
    </row>
    <row r="55" spans="1:5" x14ac:dyDescent="0.3">
      <c r="A55" s="158"/>
      <c r="B55" s="161"/>
      <c r="C55" s="161"/>
      <c r="D55" s="161"/>
      <c r="E55" s="27" t="s">
        <v>383</v>
      </c>
    </row>
    <row r="56" spans="1:5" x14ac:dyDescent="0.3">
      <c r="A56" s="158"/>
      <c r="B56" s="161"/>
      <c r="C56" s="161"/>
      <c r="D56" s="161"/>
      <c r="E56" s="27" t="s">
        <v>399</v>
      </c>
    </row>
    <row r="57" spans="1:5" ht="15" thickBot="1" x14ac:dyDescent="0.35">
      <c r="A57" s="166"/>
      <c r="B57" s="167"/>
      <c r="C57" s="167"/>
      <c r="D57" s="167"/>
      <c r="E57" s="28" t="s">
        <v>400</v>
      </c>
    </row>
    <row r="58" spans="1:5" ht="20.399999999999999" customHeight="1" x14ac:dyDescent="0.3">
      <c r="A58" s="157" t="s">
        <v>425</v>
      </c>
      <c r="B58" s="160" t="s">
        <v>426</v>
      </c>
      <c r="C58" s="160" t="s">
        <v>833</v>
      </c>
      <c r="D58" s="160" t="s">
        <v>427</v>
      </c>
      <c r="E58" s="24" t="s">
        <v>658</v>
      </c>
    </row>
    <row r="59" spans="1:5" x14ac:dyDescent="0.3">
      <c r="A59" s="158"/>
      <c r="B59" s="161"/>
      <c r="C59" s="161"/>
      <c r="D59" s="161"/>
      <c r="E59" s="27" t="s">
        <v>453</v>
      </c>
    </row>
    <row r="60" spans="1:5" x14ac:dyDescent="0.3">
      <c r="A60" s="158"/>
      <c r="B60" s="161"/>
      <c r="C60" s="161"/>
      <c r="D60" s="161"/>
      <c r="E60" s="27" t="s">
        <v>428</v>
      </c>
    </row>
    <row r="61" spans="1:5" x14ac:dyDescent="0.3">
      <c r="A61" s="158"/>
      <c r="B61" s="161"/>
      <c r="C61" s="161"/>
      <c r="D61" s="161"/>
      <c r="E61" s="27" t="s">
        <v>429</v>
      </c>
    </row>
    <row r="62" spans="1:5" ht="28.8" x14ac:dyDescent="0.3">
      <c r="A62" s="158"/>
      <c r="B62" s="161"/>
      <c r="C62" s="161"/>
      <c r="D62" s="161"/>
      <c r="E62" s="27" t="s">
        <v>431</v>
      </c>
    </row>
    <row r="63" spans="1:5" ht="28.8" x14ac:dyDescent="0.3">
      <c r="A63" s="158"/>
      <c r="B63" s="161"/>
      <c r="C63" s="161"/>
      <c r="D63" s="161"/>
      <c r="E63" s="28" t="s">
        <v>430</v>
      </c>
    </row>
    <row r="64" spans="1:5" x14ac:dyDescent="0.3">
      <c r="A64" s="158"/>
      <c r="B64" s="161"/>
      <c r="C64" s="161"/>
      <c r="D64" s="161"/>
      <c r="E64" s="27" t="s">
        <v>435</v>
      </c>
    </row>
    <row r="65" spans="1:5" x14ac:dyDescent="0.3">
      <c r="A65" s="158"/>
      <c r="B65" s="161"/>
      <c r="C65" s="161"/>
      <c r="D65" s="161"/>
      <c r="E65" s="27" t="s">
        <v>434</v>
      </c>
    </row>
    <row r="66" spans="1:5" ht="15" thickBot="1" x14ac:dyDescent="0.35">
      <c r="A66" s="159"/>
      <c r="B66" s="162"/>
      <c r="C66" s="162"/>
      <c r="D66" s="162"/>
      <c r="E66" s="55" t="s">
        <v>436</v>
      </c>
    </row>
    <row r="67" spans="1:5" ht="15" thickBot="1" x14ac:dyDescent="0.35">
      <c r="A67" s="216" t="s">
        <v>480</v>
      </c>
      <c r="B67" s="217"/>
      <c r="C67" s="217"/>
      <c r="D67" s="217"/>
      <c r="E67" s="218"/>
    </row>
    <row r="68" spans="1:5" ht="16.8" customHeight="1" x14ac:dyDescent="0.3">
      <c r="A68" s="157" t="s">
        <v>481</v>
      </c>
      <c r="B68" s="160" t="s">
        <v>252</v>
      </c>
      <c r="C68" s="160" t="s">
        <v>834</v>
      </c>
      <c r="D68" s="160" t="s">
        <v>491</v>
      </c>
      <c r="E68" s="24" t="s">
        <v>358</v>
      </c>
    </row>
    <row r="69" spans="1:5" x14ac:dyDescent="0.3">
      <c r="A69" s="158"/>
      <c r="B69" s="161"/>
      <c r="C69" s="161"/>
      <c r="D69" s="161"/>
      <c r="E69" s="27" t="s">
        <v>492</v>
      </c>
    </row>
    <row r="70" spans="1:5" x14ac:dyDescent="0.3">
      <c r="A70" s="158"/>
      <c r="B70" s="161"/>
      <c r="C70" s="161"/>
      <c r="D70" s="161"/>
      <c r="E70" s="27" t="s">
        <v>360</v>
      </c>
    </row>
    <row r="71" spans="1:5" x14ac:dyDescent="0.3">
      <c r="A71" s="158"/>
      <c r="B71" s="161"/>
      <c r="C71" s="161"/>
      <c r="D71" s="161"/>
      <c r="E71" s="27" t="s">
        <v>361</v>
      </c>
    </row>
    <row r="72" spans="1:5" x14ac:dyDescent="0.3">
      <c r="A72" s="158"/>
      <c r="B72" s="161"/>
      <c r="C72" s="161"/>
      <c r="D72" s="161"/>
      <c r="E72" s="27" t="s">
        <v>493</v>
      </c>
    </row>
    <row r="73" spans="1:5" x14ac:dyDescent="0.3">
      <c r="A73" s="158"/>
      <c r="B73" s="161"/>
      <c r="C73" s="161"/>
      <c r="D73" s="161"/>
      <c r="E73" s="27" t="s">
        <v>494</v>
      </c>
    </row>
    <row r="74" spans="1:5" x14ac:dyDescent="0.3">
      <c r="A74" s="158"/>
      <c r="B74" s="161"/>
      <c r="C74" s="161"/>
      <c r="D74" s="161"/>
      <c r="E74" s="27" t="s">
        <v>495</v>
      </c>
    </row>
    <row r="75" spans="1:5" x14ac:dyDescent="0.3">
      <c r="A75" s="158"/>
      <c r="B75" s="161"/>
      <c r="C75" s="161"/>
      <c r="D75" s="161"/>
      <c r="E75" s="27" t="s">
        <v>496</v>
      </c>
    </row>
    <row r="76" spans="1:5" x14ac:dyDescent="0.3">
      <c r="A76" s="158"/>
      <c r="B76" s="161"/>
      <c r="C76" s="161"/>
      <c r="D76" s="161"/>
      <c r="E76" s="27" t="s">
        <v>497</v>
      </c>
    </row>
    <row r="77" spans="1:5" ht="15" thickBot="1" x14ac:dyDescent="0.35">
      <c r="A77" s="166"/>
      <c r="B77" s="167"/>
      <c r="C77" s="167"/>
      <c r="D77" s="167"/>
      <c r="E77" s="28" t="s">
        <v>498</v>
      </c>
    </row>
    <row r="78" spans="1:5" ht="21" customHeight="1" x14ac:dyDescent="0.3">
      <c r="A78" s="157" t="s">
        <v>499</v>
      </c>
      <c r="B78" s="160" t="s">
        <v>254</v>
      </c>
      <c r="C78" s="160" t="s">
        <v>835</v>
      </c>
      <c r="D78" s="160" t="s">
        <v>491</v>
      </c>
      <c r="E78" s="24" t="s">
        <v>500</v>
      </c>
    </row>
    <row r="79" spans="1:5" ht="22.2" customHeight="1" thickBot="1" x14ac:dyDescent="0.35">
      <c r="A79" s="166"/>
      <c r="B79" s="167"/>
      <c r="C79" s="167"/>
      <c r="D79" s="167"/>
      <c r="E79" s="28" t="s">
        <v>501</v>
      </c>
    </row>
    <row r="80" spans="1:5" ht="36.6" customHeight="1" thickBot="1" x14ac:dyDescent="0.35">
      <c r="A80" s="107" t="s">
        <v>559</v>
      </c>
      <c r="B80" s="108" t="s">
        <v>256</v>
      </c>
      <c r="C80" s="108" t="s">
        <v>836</v>
      </c>
      <c r="D80" s="108" t="s">
        <v>577</v>
      </c>
      <c r="E80" s="109" t="s">
        <v>634</v>
      </c>
    </row>
    <row r="81" spans="1:5" ht="15" customHeight="1" x14ac:dyDescent="0.3">
      <c r="A81" s="157" t="s">
        <v>590</v>
      </c>
      <c r="B81" s="160" t="s">
        <v>560</v>
      </c>
      <c r="C81" s="160" t="s">
        <v>837</v>
      </c>
      <c r="D81" s="160" t="s">
        <v>577</v>
      </c>
      <c r="E81" s="24" t="s">
        <v>659</v>
      </c>
    </row>
    <row r="82" spans="1:5" x14ac:dyDescent="0.3">
      <c r="A82" s="158"/>
      <c r="B82" s="161"/>
      <c r="C82" s="161"/>
      <c r="D82" s="161"/>
      <c r="E82" s="27" t="s">
        <v>561</v>
      </c>
    </row>
    <row r="83" spans="1:5" ht="15" thickBot="1" x14ac:dyDescent="0.35">
      <c r="A83" s="158"/>
      <c r="B83" s="161"/>
      <c r="C83" s="161"/>
      <c r="D83" s="161"/>
      <c r="E83" s="27" t="s">
        <v>562</v>
      </c>
    </row>
    <row r="84" spans="1:5" ht="15" thickBot="1" x14ac:dyDescent="0.35">
      <c r="A84" s="166"/>
      <c r="B84" s="167"/>
      <c r="C84" s="167"/>
      <c r="D84" s="167"/>
      <c r="E84" s="28" t="s">
        <v>635</v>
      </c>
    </row>
    <row r="85" spans="1:5" ht="15.6" customHeight="1" x14ac:dyDescent="0.3">
      <c r="A85" s="157" t="s">
        <v>633</v>
      </c>
      <c r="B85" s="160" t="s">
        <v>591</v>
      </c>
      <c r="C85" s="160" t="s">
        <v>838</v>
      </c>
      <c r="D85" s="160" t="s">
        <v>592</v>
      </c>
      <c r="E85" s="24" t="s">
        <v>593</v>
      </c>
    </row>
    <row r="86" spans="1:5" x14ac:dyDescent="0.3">
      <c r="A86" s="158"/>
      <c r="B86" s="161"/>
      <c r="C86" s="161"/>
      <c r="D86" s="161"/>
      <c r="E86" s="27" t="s">
        <v>594</v>
      </c>
    </row>
    <row r="87" spans="1:5" x14ac:dyDescent="0.3">
      <c r="A87" s="158"/>
      <c r="B87" s="161"/>
      <c r="C87" s="161"/>
      <c r="D87" s="161"/>
      <c r="E87" s="27" t="s">
        <v>595</v>
      </c>
    </row>
    <row r="88" spans="1:5" x14ac:dyDescent="0.3">
      <c r="A88" s="158"/>
      <c r="B88" s="161"/>
      <c r="C88" s="161"/>
      <c r="D88" s="161"/>
      <c r="E88" s="27" t="s">
        <v>596</v>
      </c>
    </row>
    <row r="89" spans="1:5" x14ac:dyDescent="0.3">
      <c r="A89" s="158"/>
      <c r="B89" s="161"/>
      <c r="C89" s="161"/>
      <c r="D89" s="161"/>
      <c r="E89" s="27" t="s">
        <v>597</v>
      </c>
    </row>
    <row r="90" spans="1:5" ht="15" thickBot="1" x14ac:dyDescent="0.35">
      <c r="A90" s="159"/>
      <c r="B90" s="162"/>
      <c r="C90" s="162"/>
      <c r="D90" s="162"/>
      <c r="E90" s="55" t="s">
        <v>598</v>
      </c>
    </row>
    <row r="91" spans="1:5" x14ac:dyDescent="0.3">
      <c r="A91" s="157" t="s">
        <v>636</v>
      </c>
      <c r="B91" s="160" t="s">
        <v>426</v>
      </c>
      <c r="C91" s="160" t="s">
        <v>833</v>
      </c>
      <c r="D91" s="160" t="s">
        <v>427</v>
      </c>
      <c r="E91" s="24" t="s">
        <v>658</v>
      </c>
    </row>
    <row r="92" spans="1:5" x14ac:dyDescent="0.3">
      <c r="A92" s="158"/>
      <c r="B92" s="161"/>
      <c r="C92" s="161"/>
      <c r="D92" s="161"/>
      <c r="E92" s="27" t="s">
        <v>453</v>
      </c>
    </row>
    <row r="93" spans="1:5" x14ac:dyDescent="0.3">
      <c r="A93" s="158"/>
      <c r="B93" s="161"/>
      <c r="C93" s="161"/>
      <c r="D93" s="161"/>
      <c r="E93" s="27" t="s">
        <v>428</v>
      </c>
    </row>
    <row r="94" spans="1:5" x14ac:dyDescent="0.3">
      <c r="A94" s="158"/>
      <c r="B94" s="161"/>
      <c r="C94" s="161"/>
      <c r="D94" s="161"/>
      <c r="E94" s="27" t="s">
        <v>429</v>
      </c>
    </row>
    <row r="95" spans="1:5" ht="28.8" x14ac:dyDescent="0.3">
      <c r="A95" s="158"/>
      <c r="B95" s="161"/>
      <c r="C95" s="161"/>
      <c r="D95" s="161"/>
      <c r="E95" s="27" t="s">
        <v>431</v>
      </c>
    </row>
    <row r="96" spans="1:5" ht="28.8" x14ac:dyDescent="0.3">
      <c r="A96" s="158"/>
      <c r="B96" s="161"/>
      <c r="C96" s="161"/>
      <c r="D96" s="161"/>
      <c r="E96" s="28" t="s">
        <v>430</v>
      </c>
    </row>
    <row r="97" spans="1:5" x14ac:dyDescent="0.3">
      <c r="A97" s="158"/>
      <c r="B97" s="161"/>
      <c r="C97" s="161"/>
      <c r="D97" s="161"/>
      <c r="E97" s="27" t="s">
        <v>435</v>
      </c>
    </row>
    <row r="98" spans="1:5" x14ac:dyDescent="0.3">
      <c r="A98" s="158"/>
      <c r="B98" s="161"/>
      <c r="C98" s="161"/>
      <c r="D98" s="161"/>
      <c r="E98" s="27" t="s">
        <v>434</v>
      </c>
    </row>
    <row r="99" spans="1:5" ht="15" thickBot="1" x14ac:dyDescent="0.35">
      <c r="A99" s="159"/>
      <c r="B99" s="162"/>
      <c r="C99" s="162"/>
      <c r="D99" s="162"/>
      <c r="E99" s="55" t="s">
        <v>436</v>
      </c>
    </row>
    <row r="100" spans="1:5" ht="15" thickBot="1" x14ac:dyDescent="0.35">
      <c r="A100" s="216" t="s">
        <v>650</v>
      </c>
      <c r="B100" s="217"/>
      <c r="C100" s="217"/>
      <c r="D100" s="217"/>
      <c r="E100" s="218"/>
    </row>
    <row r="101" spans="1:5" ht="15.6" customHeight="1" x14ac:dyDescent="0.3">
      <c r="A101" s="184" t="s">
        <v>651</v>
      </c>
      <c r="B101" s="181" t="s">
        <v>652</v>
      </c>
      <c r="C101" s="181" t="s">
        <v>735</v>
      </c>
      <c r="D101" s="181" t="s">
        <v>653</v>
      </c>
      <c r="E101" s="24" t="s">
        <v>654</v>
      </c>
    </row>
    <row r="102" spans="1:5" x14ac:dyDescent="0.3">
      <c r="A102" s="185"/>
      <c r="B102" s="182"/>
      <c r="C102" s="182"/>
      <c r="D102" s="182"/>
      <c r="E102" s="27" t="s">
        <v>660</v>
      </c>
    </row>
    <row r="103" spans="1:5" x14ac:dyDescent="0.3">
      <c r="A103" s="185"/>
      <c r="B103" s="182"/>
      <c r="C103" s="182"/>
      <c r="D103" s="182"/>
      <c r="E103" s="27" t="s">
        <v>661</v>
      </c>
    </row>
    <row r="104" spans="1:5" x14ac:dyDescent="0.3">
      <c r="A104" s="185"/>
      <c r="B104" s="182"/>
      <c r="C104" s="182"/>
      <c r="D104" s="182"/>
      <c r="E104" s="27" t="s">
        <v>662</v>
      </c>
    </row>
    <row r="105" spans="1:5" x14ac:dyDescent="0.3">
      <c r="A105" s="185"/>
      <c r="B105" s="182"/>
      <c r="C105" s="182"/>
      <c r="D105" s="182"/>
      <c r="E105" s="27" t="s">
        <v>663</v>
      </c>
    </row>
    <row r="106" spans="1:5" ht="15" thickBot="1" x14ac:dyDescent="0.35">
      <c r="A106" s="185"/>
      <c r="B106" s="182"/>
      <c r="C106" s="182"/>
      <c r="D106" s="182"/>
      <c r="E106" s="28" t="s">
        <v>664</v>
      </c>
    </row>
    <row r="107" spans="1:5" ht="16.2" customHeight="1" x14ac:dyDescent="0.3">
      <c r="A107" s="157" t="s">
        <v>733</v>
      </c>
      <c r="B107" s="160" t="s">
        <v>841</v>
      </c>
      <c r="C107" s="160" t="s">
        <v>842</v>
      </c>
      <c r="D107" s="160" t="s">
        <v>840</v>
      </c>
      <c r="E107" s="24" t="s">
        <v>843</v>
      </c>
    </row>
    <row r="108" spans="1:5" x14ac:dyDescent="0.3">
      <c r="A108" s="158"/>
      <c r="B108" s="161"/>
      <c r="C108" s="161"/>
      <c r="D108" s="161"/>
      <c r="E108" s="27" t="s">
        <v>844</v>
      </c>
    </row>
    <row r="109" spans="1:5" x14ac:dyDescent="0.3">
      <c r="A109" s="158"/>
      <c r="B109" s="161"/>
      <c r="C109" s="161"/>
      <c r="D109" s="161"/>
      <c r="E109" s="27" t="s">
        <v>845</v>
      </c>
    </row>
    <row r="110" spans="1:5" x14ac:dyDescent="0.3">
      <c r="A110" s="158"/>
      <c r="B110" s="161"/>
      <c r="C110" s="161"/>
      <c r="D110" s="161"/>
      <c r="E110" s="27" t="s">
        <v>846</v>
      </c>
    </row>
    <row r="111" spans="1:5" x14ac:dyDescent="0.3">
      <c r="A111" s="158"/>
      <c r="B111" s="161"/>
      <c r="C111" s="161"/>
      <c r="D111" s="161"/>
      <c r="E111" s="27" t="s">
        <v>847</v>
      </c>
    </row>
    <row r="112" spans="1:5" ht="28.8" x14ac:dyDescent="0.3">
      <c r="A112" s="158"/>
      <c r="B112" s="161"/>
      <c r="C112" s="161"/>
      <c r="D112" s="161"/>
      <c r="E112" s="27" t="s">
        <v>848</v>
      </c>
    </row>
    <row r="113" spans="1:5" ht="28.8" x14ac:dyDescent="0.3">
      <c r="A113" s="158"/>
      <c r="B113" s="161"/>
      <c r="C113" s="161"/>
      <c r="D113" s="161"/>
      <c r="E113" s="27" t="s">
        <v>849</v>
      </c>
    </row>
    <row r="114" spans="1:5" x14ac:dyDescent="0.3">
      <c r="A114" s="166"/>
      <c r="B114" s="167"/>
      <c r="C114" s="167"/>
      <c r="D114" s="167"/>
      <c r="E114" s="28" t="s">
        <v>888</v>
      </c>
    </row>
    <row r="115" spans="1:5" ht="28.8" x14ac:dyDescent="0.3">
      <c r="A115" s="202" t="s">
        <v>892</v>
      </c>
      <c r="B115" s="167" t="s">
        <v>734</v>
      </c>
      <c r="C115" s="167" t="s">
        <v>839</v>
      </c>
      <c r="D115" s="167" t="s">
        <v>840</v>
      </c>
      <c r="E115" s="54" t="s">
        <v>899</v>
      </c>
    </row>
    <row r="116" spans="1:5" x14ac:dyDescent="0.3">
      <c r="A116" s="203"/>
      <c r="B116" s="182"/>
      <c r="C116" s="182"/>
      <c r="D116" s="182"/>
      <c r="E116" s="54" t="s">
        <v>893</v>
      </c>
    </row>
    <row r="117" spans="1:5" ht="28.8" x14ac:dyDescent="0.3">
      <c r="A117" s="203"/>
      <c r="B117" s="182"/>
      <c r="C117" s="182"/>
      <c r="D117" s="182"/>
      <c r="E117" s="54" t="s">
        <v>894</v>
      </c>
    </row>
    <row r="118" spans="1:5" x14ac:dyDescent="0.3">
      <c r="A118" s="203"/>
      <c r="B118" s="182"/>
      <c r="C118" s="182"/>
      <c r="D118" s="182"/>
      <c r="E118" s="54" t="s">
        <v>895</v>
      </c>
    </row>
    <row r="119" spans="1:5" ht="28.8" x14ac:dyDescent="0.3">
      <c r="A119" s="204"/>
      <c r="B119" s="201"/>
      <c r="C119" s="201"/>
      <c r="D119" s="201"/>
      <c r="E119" s="54" t="s">
        <v>896</v>
      </c>
    </row>
  </sheetData>
  <mergeCells count="81">
    <mergeCell ref="A100:E100"/>
    <mergeCell ref="D101:D106"/>
    <mergeCell ref="C101:C106"/>
    <mergeCell ref="B101:B106"/>
    <mergeCell ref="A101:A106"/>
    <mergeCell ref="D85:D90"/>
    <mergeCell ref="C85:C90"/>
    <mergeCell ref="B85:B90"/>
    <mergeCell ref="A85:A90"/>
    <mergeCell ref="D78:D79"/>
    <mergeCell ref="C78:C79"/>
    <mergeCell ref="B78:B79"/>
    <mergeCell ref="A78:A79"/>
    <mergeCell ref="D81:D84"/>
    <mergeCell ref="C81:C84"/>
    <mergeCell ref="B81:B84"/>
    <mergeCell ref="A81:A84"/>
    <mergeCell ref="A67:E67"/>
    <mergeCell ref="A68:A77"/>
    <mergeCell ref="B68:B77"/>
    <mergeCell ref="C68:C77"/>
    <mergeCell ref="D68:D77"/>
    <mergeCell ref="A10:E10"/>
    <mergeCell ref="D11:D26"/>
    <mergeCell ref="C11:C26"/>
    <mergeCell ref="B11:B26"/>
    <mergeCell ref="A11:A26"/>
    <mergeCell ref="D45:D46"/>
    <mergeCell ref="C45:C46"/>
    <mergeCell ref="B45:B46"/>
    <mergeCell ref="A45:A46"/>
    <mergeCell ref="D58:D66"/>
    <mergeCell ref="C58:C66"/>
    <mergeCell ref="B58:B66"/>
    <mergeCell ref="A58:A66"/>
    <mergeCell ref="D52:D53"/>
    <mergeCell ref="C52:C53"/>
    <mergeCell ref="B52:B53"/>
    <mergeCell ref="A52:A53"/>
    <mergeCell ref="D54:D57"/>
    <mergeCell ref="C54:C57"/>
    <mergeCell ref="B54:B57"/>
    <mergeCell ref="A54:A57"/>
    <mergeCell ref="A1:E1"/>
    <mergeCell ref="D4:D9"/>
    <mergeCell ref="C4:C9"/>
    <mergeCell ref="B4:B9"/>
    <mergeCell ref="A4:A9"/>
    <mergeCell ref="A3:E3"/>
    <mergeCell ref="D27:D28"/>
    <mergeCell ref="C27:C28"/>
    <mergeCell ref="B27:B28"/>
    <mergeCell ref="A27:A28"/>
    <mergeCell ref="A29:A39"/>
    <mergeCell ref="B29:B39"/>
    <mergeCell ref="C29:C39"/>
    <mergeCell ref="D29:D39"/>
    <mergeCell ref="A91:A99"/>
    <mergeCell ref="B91:B99"/>
    <mergeCell ref="C91:C99"/>
    <mergeCell ref="D91:D99"/>
    <mergeCell ref="A40:A41"/>
    <mergeCell ref="B40:B41"/>
    <mergeCell ref="C40:C41"/>
    <mergeCell ref="D40:D41"/>
    <mergeCell ref="D42:D44"/>
    <mergeCell ref="C42:C44"/>
    <mergeCell ref="B42:B44"/>
    <mergeCell ref="A42:A44"/>
    <mergeCell ref="D47:D51"/>
    <mergeCell ref="C47:C51"/>
    <mergeCell ref="B47:B51"/>
    <mergeCell ref="A47:A51"/>
    <mergeCell ref="D115:D119"/>
    <mergeCell ref="C115:C119"/>
    <mergeCell ref="B115:B119"/>
    <mergeCell ref="A115:A119"/>
    <mergeCell ref="D107:D114"/>
    <mergeCell ref="C107:C114"/>
    <mergeCell ref="B107:B114"/>
    <mergeCell ref="A107:A1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7108-FADA-451A-8ED7-F08717F1871C}">
  <sheetPr codeName="Sheet7"/>
  <dimension ref="A1:N416"/>
  <sheetViews>
    <sheetView zoomScale="69" zoomScaleNormal="83" workbookViewId="0">
      <pane xSplit="1" ySplit="2" topLeftCell="L3" activePane="bottomRight" state="frozen"/>
      <selection pane="topRight" activeCell="B1" sqref="B1"/>
      <selection pane="bottomLeft" activeCell="A3" sqref="A3"/>
      <selection pane="bottomRight" activeCell="O309" sqref="O309"/>
    </sheetView>
  </sheetViews>
  <sheetFormatPr defaultRowHeight="15" x14ac:dyDescent="0.25"/>
  <cols>
    <col min="1" max="1" width="10.5546875" style="117" customWidth="1"/>
    <col min="2" max="2" width="10.88671875" style="117" customWidth="1"/>
    <col min="3" max="3" width="18.5546875" style="117" bestFit="1" customWidth="1"/>
    <col min="4" max="4" width="15.21875" style="129" bestFit="1" customWidth="1"/>
    <col min="5" max="5" width="22.44140625" style="129" bestFit="1" customWidth="1"/>
    <col min="6" max="6" width="9.21875" style="117" customWidth="1"/>
    <col min="7" max="7" width="26.21875" style="117" customWidth="1"/>
    <col min="8" max="8" width="13.88671875" style="117" customWidth="1"/>
    <col min="9" max="9" width="12.44140625" style="117" customWidth="1"/>
    <col min="10" max="10" width="32" style="129" customWidth="1"/>
    <col min="11" max="11" width="34.33203125" style="116" bestFit="1" customWidth="1"/>
    <col min="12" max="12" width="31.77734375" style="116" bestFit="1" customWidth="1"/>
    <col min="13" max="13" width="10.5546875" style="117" customWidth="1"/>
    <col min="14" max="14" width="24" style="117" customWidth="1"/>
    <col min="15" max="16384" width="8.88671875" style="116"/>
  </cols>
  <sheetData>
    <row r="1" spans="1:14" x14ac:dyDescent="0.25">
      <c r="A1" s="248" t="s">
        <v>721</v>
      </c>
      <c r="B1" s="249"/>
      <c r="C1" s="249"/>
      <c r="D1" s="250"/>
      <c r="E1" s="250"/>
      <c r="F1" s="249"/>
      <c r="G1" s="249"/>
      <c r="H1" s="249"/>
      <c r="I1" s="249"/>
      <c r="J1" s="249"/>
      <c r="K1" s="249"/>
      <c r="L1" s="249"/>
      <c r="M1" s="249"/>
      <c r="N1" s="251"/>
    </row>
    <row r="2" spans="1:14" s="140" customFormat="1" x14ac:dyDescent="0.3">
      <c r="A2" s="136" t="s">
        <v>722</v>
      </c>
      <c r="B2" s="137" t="s">
        <v>275</v>
      </c>
      <c r="C2" s="137" t="s">
        <v>723</v>
      </c>
      <c r="D2" s="138" t="s">
        <v>724</v>
      </c>
      <c r="E2" s="138" t="s">
        <v>725</v>
      </c>
      <c r="F2" s="137" t="s">
        <v>714</v>
      </c>
      <c r="G2" s="137" t="s">
        <v>715</v>
      </c>
      <c r="H2" s="142" t="s">
        <v>726</v>
      </c>
      <c r="I2" s="142" t="s">
        <v>716</v>
      </c>
      <c r="J2" s="141" t="s">
        <v>717</v>
      </c>
      <c r="K2" s="252" t="s">
        <v>730</v>
      </c>
      <c r="L2" s="252"/>
      <c r="M2" s="137" t="s">
        <v>31</v>
      </c>
      <c r="N2" s="139" t="s">
        <v>727</v>
      </c>
    </row>
    <row r="3" spans="1:14" ht="15" customHeight="1" x14ac:dyDescent="0.25">
      <c r="A3" s="238" t="s">
        <v>718</v>
      </c>
      <c r="B3" s="223"/>
      <c r="C3" s="223" t="s">
        <v>728</v>
      </c>
      <c r="D3" s="240" t="s">
        <v>729</v>
      </c>
      <c r="E3" s="253" t="s">
        <v>267</v>
      </c>
      <c r="F3" s="223" t="s">
        <v>719</v>
      </c>
      <c r="G3" s="223" t="s">
        <v>732</v>
      </c>
      <c r="H3" s="223" t="s">
        <v>994</v>
      </c>
      <c r="I3" s="223" t="s">
        <v>994</v>
      </c>
      <c r="J3" s="240" t="s">
        <v>971</v>
      </c>
      <c r="K3" s="21" t="s">
        <v>34</v>
      </c>
      <c r="L3" s="20" t="s">
        <v>35</v>
      </c>
      <c r="M3" s="223" t="s">
        <v>720</v>
      </c>
      <c r="N3" s="226" t="s">
        <v>731</v>
      </c>
    </row>
    <row r="4" spans="1:14" x14ac:dyDescent="0.25">
      <c r="A4" s="238"/>
      <c r="B4" s="223"/>
      <c r="C4" s="223"/>
      <c r="D4" s="240"/>
      <c r="E4" s="253"/>
      <c r="F4" s="223"/>
      <c r="G4" s="223"/>
      <c r="H4" s="220"/>
      <c r="I4" s="220"/>
      <c r="J4" s="220"/>
      <c r="K4" s="21" t="s">
        <v>62</v>
      </c>
      <c r="L4" s="23" t="s">
        <v>43</v>
      </c>
      <c r="M4" s="223"/>
      <c r="N4" s="226"/>
    </row>
    <row r="5" spans="1:14" x14ac:dyDescent="0.25">
      <c r="A5" s="238"/>
      <c r="B5" s="223"/>
      <c r="C5" s="223"/>
      <c r="D5" s="240"/>
      <c r="E5" s="253"/>
      <c r="F5" s="223"/>
      <c r="G5" s="223"/>
      <c r="H5" s="220"/>
      <c r="I5" s="220"/>
      <c r="J5" s="220"/>
      <c r="K5" s="21" t="s">
        <v>39</v>
      </c>
      <c r="L5" s="20" t="s">
        <v>58</v>
      </c>
      <c r="M5" s="223"/>
      <c r="N5" s="226"/>
    </row>
    <row r="6" spans="1:14" ht="15.6" thickBot="1" x14ac:dyDescent="0.3">
      <c r="A6" s="239"/>
      <c r="B6" s="224"/>
      <c r="C6" s="224"/>
      <c r="D6" s="241"/>
      <c r="E6" s="254"/>
      <c r="F6" s="224"/>
      <c r="G6" s="224"/>
      <c r="H6" s="221"/>
      <c r="I6" s="221"/>
      <c r="J6" s="221"/>
      <c r="K6" s="118" t="s">
        <v>42</v>
      </c>
      <c r="L6" s="106" t="s">
        <v>43</v>
      </c>
      <c r="M6" s="224"/>
      <c r="N6" s="227"/>
    </row>
    <row r="7" spans="1:14" ht="15.6" thickBot="1" x14ac:dyDescent="0.3"/>
    <row r="8" spans="1:14" ht="15" customHeight="1" x14ac:dyDescent="0.25">
      <c r="A8" s="237" t="s">
        <v>924</v>
      </c>
      <c r="B8" s="222"/>
      <c r="C8" s="222" t="s">
        <v>925</v>
      </c>
      <c r="D8" s="219" t="s">
        <v>432</v>
      </c>
      <c r="E8" s="219" t="s">
        <v>9</v>
      </c>
      <c r="F8" s="222" t="s">
        <v>719</v>
      </c>
      <c r="G8" s="222" t="s">
        <v>926</v>
      </c>
      <c r="H8" s="222" t="s">
        <v>994</v>
      </c>
      <c r="I8" s="222" t="s">
        <v>994</v>
      </c>
      <c r="J8" s="219" t="s">
        <v>972</v>
      </c>
      <c r="K8" s="131" t="s">
        <v>75</v>
      </c>
      <c r="L8" s="132" t="s">
        <v>249</v>
      </c>
      <c r="M8" s="222" t="s">
        <v>720</v>
      </c>
      <c r="N8" s="225" t="s">
        <v>731</v>
      </c>
    </row>
    <row r="9" spans="1:14" x14ac:dyDescent="0.25">
      <c r="A9" s="238"/>
      <c r="B9" s="223"/>
      <c r="C9" s="223"/>
      <c r="D9" s="240"/>
      <c r="E9" s="240"/>
      <c r="F9" s="223"/>
      <c r="G9" s="223"/>
      <c r="H9" s="220"/>
      <c r="I9" s="220"/>
      <c r="J9" s="220"/>
      <c r="K9" s="21" t="s">
        <v>76</v>
      </c>
      <c r="L9" s="20" t="s">
        <v>249</v>
      </c>
      <c r="M9" s="223"/>
      <c r="N9" s="226"/>
    </row>
    <row r="10" spans="1:14" x14ac:dyDescent="0.25">
      <c r="A10" s="238"/>
      <c r="B10" s="223"/>
      <c r="C10" s="223"/>
      <c r="D10" s="240"/>
      <c r="E10" s="240"/>
      <c r="F10" s="223"/>
      <c r="G10" s="223"/>
      <c r="H10" s="220"/>
      <c r="I10" s="220"/>
      <c r="J10" s="220"/>
      <c r="K10" s="21" t="s">
        <v>77</v>
      </c>
      <c r="L10" s="20" t="s">
        <v>92</v>
      </c>
      <c r="M10" s="223"/>
      <c r="N10" s="226"/>
    </row>
    <row r="11" spans="1:14" x14ac:dyDescent="0.25">
      <c r="A11" s="238"/>
      <c r="B11" s="223"/>
      <c r="C11" s="223"/>
      <c r="D11" s="240"/>
      <c r="E11" s="240"/>
      <c r="F11" s="223"/>
      <c r="G11" s="223"/>
      <c r="H11" s="220"/>
      <c r="I11" s="220"/>
      <c r="J11" s="220"/>
      <c r="K11" s="21" t="s">
        <v>78</v>
      </c>
      <c r="L11" s="20" t="s">
        <v>93</v>
      </c>
      <c r="M11" s="223"/>
      <c r="N11" s="226"/>
    </row>
    <row r="12" spans="1:14" x14ac:dyDescent="0.25">
      <c r="A12" s="238"/>
      <c r="B12" s="223"/>
      <c r="C12" s="223"/>
      <c r="D12" s="240"/>
      <c r="E12" s="240"/>
      <c r="F12" s="223"/>
      <c r="G12" s="223"/>
      <c r="H12" s="220"/>
      <c r="I12" s="220"/>
      <c r="J12" s="220"/>
      <c r="K12" s="21" t="s">
        <v>79</v>
      </c>
      <c r="L12" s="20" t="s">
        <v>94</v>
      </c>
      <c r="M12" s="223"/>
      <c r="N12" s="226"/>
    </row>
    <row r="13" spans="1:14" x14ac:dyDescent="0.25">
      <c r="A13" s="238"/>
      <c r="B13" s="223"/>
      <c r="C13" s="223"/>
      <c r="D13" s="240"/>
      <c r="E13" s="240"/>
      <c r="F13" s="223"/>
      <c r="G13" s="223"/>
      <c r="H13" s="220"/>
      <c r="I13" s="220"/>
      <c r="J13" s="220"/>
      <c r="K13" s="21" t="s">
        <v>80</v>
      </c>
      <c r="L13" s="20" t="s">
        <v>95</v>
      </c>
      <c r="M13" s="223"/>
      <c r="N13" s="226"/>
    </row>
    <row r="14" spans="1:14" x14ac:dyDescent="0.25">
      <c r="A14" s="238"/>
      <c r="B14" s="223"/>
      <c r="C14" s="223"/>
      <c r="D14" s="240"/>
      <c r="E14" s="240"/>
      <c r="F14" s="223"/>
      <c r="G14" s="223"/>
      <c r="H14" s="220"/>
      <c r="I14" s="220"/>
      <c r="J14" s="220"/>
      <c r="K14" s="21" t="s">
        <v>81</v>
      </c>
      <c r="L14" s="33" t="s">
        <v>96</v>
      </c>
      <c r="M14" s="223"/>
      <c r="N14" s="226"/>
    </row>
    <row r="15" spans="1:14" x14ac:dyDescent="0.25">
      <c r="A15" s="238"/>
      <c r="B15" s="223"/>
      <c r="C15" s="223"/>
      <c r="D15" s="240"/>
      <c r="E15" s="240"/>
      <c r="F15" s="223"/>
      <c r="G15" s="223"/>
      <c r="H15" s="220"/>
      <c r="I15" s="220"/>
      <c r="J15" s="220"/>
      <c r="K15" s="21" t="s">
        <v>82</v>
      </c>
      <c r="L15" s="20">
        <v>1</v>
      </c>
      <c r="M15" s="223"/>
      <c r="N15" s="226"/>
    </row>
    <row r="16" spans="1:14" x14ac:dyDescent="0.25">
      <c r="A16" s="238"/>
      <c r="B16" s="223"/>
      <c r="C16" s="223"/>
      <c r="D16" s="240"/>
      <c r="E16" s="240"/>
      <c r="F16" s="223"/>
      <c r="G16" s="223"/>
      <c r="H16" s="220"/>
      <c r="I16" s="220"/>
      <c r="J16" s="220"/>
      <c r="K16" s="21" t="s">
        <v>83</v>
      </c>
      <c r="L16" s="20" t="s">
        <v>43</v>
      </c>
      <c r="M16" s="223"/>
      <c r="N16" s="226"/>
    </row>
    <row r="17" spans="1:14" x14ac:dyDescent="0.25">
      <c r="A17" s="238"/>
      <c r="B17" s="223"/>
      <c r="C17" s="223"/>
      <c r="D17" s="240"/>
      <c r="E17" s="240"/>
      <c r="F17" s="223"/>
      <c r="G17" s="223"/>
      <c r="H17" s="220"/>
      <c r="I17" s="220"/>
      <c r="J17" s="220"/>
      <c r="K17" s="21" t="s">
        <v>88</v>
      </c>
      <c r="L17" s="20" t="s">
        <v>97</v>
      </c>
      <c r="M17" s="223"/>
      <c r="N17" s="226"/>
    </row>
    <row r="18" spans="1:14" x14ac:dyDescent="0.25">
      <c r="A18" s="238"/>
      <c r="B18" s="223"/>
      <c r="C18" s="223"/>
      <c r="D18" s="240"/>
      <c r="E18" s="240"/>
      <c r="F18" s="223"/>
      <c r="G18" s="223"/>
      <c r="H18" s="220"/>
      <c r="I18" s="220"/>
      <c r="J18" s="220"/>
      <c r="K18" s="21" t="s">
        <v>84</v>
      </c>
      <c r="L18" s="130">
        <v>46032</v>
      </c>
      <c r="M18" s="223"/>
      <c r="N18" s="226"/>
    </row>
    <row r="19" spans="1:14" x14ac:dyDescent="0.25">
      <c r="A19" s="238"/>
      <c r="B19" s="223"/>
      <c r="C19" s="223"/>
      <c r="D19" s="240"/>
      <c r="E19" s="240"/>
      <c r="F19" s="223"/>
      <c r="G19" s="223"/>
      <c r="H19" s="220"/>
      <c r="I19" s="220"/>
      <c r="J19" s="220"/>
      <c r="K19" s="21" t="s">
        <v>85</v>
      </c>
      <c r="L19" s="20" t="s">
        <v>98</v>
      </c>
      <c r="M19" s="223"/>
      <c r="N19" s="226"/>
    </row>
    <row r="20" spans="1:14" x14ac:dyDescent="0.25">
      <c r="A20" s="238"/>
      <c r="B20" s="223"/>
      <c r="C20" s="223"/>
      <c r="D20" s="240"/>
      <c r="E20" s="240"/>
      <c r="F20" s="223"/>
      <c r="G20" s="223"/>
      <c r="H20" s="220"/>
      <c r="I20" s="220"/>
      <c r="J20" s="220"/>
      <c r="K20" s="21" t="s">
        <v>86</v>
      </c>
      <c r="L20" s="20" t="s">
        <v>150</v>
      </c>
      <c r="M20" s="223"/>
      <c r="N20" s="226"/>
    </row>
    <row r="21" spans="1:14" x14ac:dyDescent="0.25">
      <c r="A21" s="238"/>
      <c r="B21" s="223"/>
      <c r="C21" s="223"/>
      <c r="D21" s="240"/>
      <c r="E21" s="240"/>
      <c r="F21" s="223"/>
      <c r="G21" s="223"/>
      <c r="H21" s="220"/>
      <c r="I21" s="220"/>
      <c r="J21" s="220"/>
      <c r="K21" s="21" t="s">
        <v>87</v>
      </c>
      <c r="L21" s="20">
        <v>8691047788</v>
      </c>
      <c r="M21" s="223"/>
      <c r="N21" s="226"/>
    </row>
    <row r="22" spans="1:14" x14ac:dyDescent="0.25">
      <c r="A22" s="238"/>
      <c r="B22" s="223"/>
      <c r="C22" s="223"/>
      <c r="D22" s="240"/>
      <c r="E22" s="240"/>
      <c r="F22" s="223"/>
      <c r="G22" s="223"/>
      <c r="H22" s="220"/>
      <c r="I22" s="220"/>
      <c r="J22" s="220"/>
      <c r="K22" s="21" t="s">
        <v>89</v>
      </c>
      <c r="L22" s="20" t="s">
        <v>100</v>
      </c>
      <c r="M22" s="223"/>
      <c r="N22" s="226"/>
    </row>
    <row r="23" spans="1:14" ht="15.6" thickBot="1" x14ac:dyDescent="0.3">
      <c r="A23" s="239"/>
      <c r="B23" s="224"/>
      <c r="C23" s="224"/>
      <c r="D23" s="241"/>
      <c r="E23" s="241"/>
      <c r="F23" s="224"/>
      <c r="G23" s="224"/>
      <c r="H23" s="221"/>
      <c r="I23" s="221"/>
      <c r="J23" s="221"/>
      <c r="K23" s="118" t="s">
        <v>90</v>
      </c>
      <c r="L23" s="106" t="s">
        <v>43</v>
      </c>
      <c r="M23" s="224"/>
      <c r="N23" s="227"/>
    </row>
    <row r="24" spans="1:14" ht="15.6" thickBot="1" x14ac:dyDescent="0.3"/>
    <row r="25" spans="1:14" ht="15" customHeight="1" thickBot="1" x14ac:dyDescent="0.3">
      <c r="A25" s="228" t="s">
        <v>927</v>
      </c>
      <c r="B25" s="234"/>
      <c r="C25" s="234" t="s">
        <v>728</v>
      </c>
      <c r="D25" s="231" t="s">
        <v>432</v>
      </c>
      <c r="E25" s="231" t="s">
        <v>9</v>
      </c>
      <c r="F25" s="234" t="s">
        <v>928</v>
      </c>
      <c r="G25" s="234" t="s">
        <v>929</v>
      </c>
      <c r="H25" s="247" t="s">
        <v>994</v>
      </c>
      <c r="I25" s="247" t="s">
        <v>994</v>
      </c>
      <c r="J25" s="245" t="s">
        <v>973</v>
      </c>
      <c r="K25" s="131" t="s">
        <v>75</v>
      </c>
      <c r="L25" s="132" t="s">
        <v>128</v>
      </c>
      <c r="M25" s="234" t="s">
        <v>720</v>
      </c>
      <c r="N25" s="242" t="s">
        <v>731</v>
      </c>
    </row>
    <row r="26" spans="1:14" ht="15.6" customHeight="1" x14ac:dyDescent="0.25">
      <c r="A26" s="229"/>
      <c r="B26" s="235"/>
      <c r="C26" s="235"/>
      <c r="D26" s="232"/>
      <c r="E26" s="232"/>
      <c r="F26" s="235"/>
      <c r="G26" s="235"/>
      <c r="H26" s="220"/>
      <c r="I26" s="220"/>
      <c r="J26" s="220"/>
      <c r="K26" s="21" t="s">
        <v>76</v>
      </c>
      <c r="L26" s="20" t="s">
        <v>128</v>
      </c>
      <c r="M26" s="235"/>
      <c r="N26" s="243"/>
    </row>
    <row r="27" spans="1:14" ht="15.6" customHeight="1" x14ac:dyDescent="0.25">
      <c r="A27" s="229"/>
      <c r="B27" s="235"/>
      <c r="C27" s="235"/>
      <c r="D27" s="232"/>
      <c r="E27" s="232"/>
      <c r="F27" s="235"/>
      <c r="G27" s="235"/>
      <c r="H27" s="220"/>
      <c r="I27" s="220"/>
      <c r="J27" s="220"/>
      <c r="K27" s="21" t="s">
        <v>77</v>
      </c>
      <c r="L27" s="20" t="s">
        <v>152</v>
      </c>
      <c r="M27" s="235"/>
      <c r="N27" s="243"/>
    </row>
    <row r="28" spans="1:14" ht="15.6" customHeight="1" x14ac:dyDescent="0.25">
      <c r="A28" s="229"/>
      <c r="B28" s="235"/>
      <c r="C28" s="235"/>
      <c r="D28" s="232"/>
      <c r="E28" s="232"/>
      <c r="F28" s="235"/>
      <c r="G28" s="235"/>
      <c r="H28" s="220"/>
      <c r="I28" s="220"/>
      <c r="J28" s="220"/>
      <c r="K28" s="21" t="s">
        <v>78</v>
      </c>
      <c r="L28" s="20"/>
      <c r="M28" s="235"/>
      <c r="N28" s="243"/>
    </row>
    <row r="29" spans="1:14" ht="15.6" customHeight="1" x14ac:dyDescent="0.25">
      <c r="A29" s="229"/>
      <c r="B29" s="235"/>
      <c r="C29" s="235"/>
      <c r="D29" s="232"/>
      <c r="E29" s="232"/>
      <c r="F29" s="235"/>
      <c r="G29" s="235"/>
      <c r="H29" s="220"/>
      <c r="I29" s="220"/>
      <c r="J29" s="220"/>
      <c r="K29" s="21" t="s">
        <v>79</v>
      </c>
      <c r="L29" s="20" t="s">
        <v>94</v>
      </c>
      <c r="M29" s="235"/>
      <c r="N29" s="243"/>
    </row>
    <row r="30" spans="1:14" ht="15.6" customHeight="1" x14ac:dyDescent="0.25">
      <c r="A30" s="229"/>
      <c r="B30" s="235"/>
      <c r="C30" s="235"/>
      <c r="D30" s="232"/>
      <c r="E30" s="232"/>
      <c r="F30" s="235"/>
      <c r="G30" s="235"/>
      <c r="H30" s="220"/>
      <c r="I30" s="220"/>
      <c r="J30" s="220"/>
      <c r="K30" s="21" t="s">
        <v>80</v>
      </c>
      <c r="L30" s="20" t="s">
        <v>95</v>
      </c>
      <c r="M30" s="235"/>
      <c r="N30" s="243"/>
    </row>
    <row r="31" spans="1:14" ht="15.6" customHeight="1" x14ac:dyDescent="0.25">
      <c r="A31" s="229"/>
      <c r="B31" s="235"/>
      <c r="C31" s="235"/>
      <c r="D31" s="232"/>
      <c r="E31" s="232"/>
      <c r="F31" s="235"/>
      <c r="G31" s="235"/>
      <c r="H31" s="220"/>
      <c r="I31" s="220"/>
      <c r="J31" s="220"/>
      <c r="K31" s="21" t="s">
        <v>81</v>
      </c>
      <c r="L31" s="33" t="s">
        <v>96</v>
      </c>
      <c r="M31" s="235"/>
      <c r="N31" s="243"/>
    </row>
    <row r="32" spans="1:14" ht="15.6" customHeight="1" x14ac:dyDescent="0.25">
      <c r="A32" s="229"/>
      <c r="B32" s="235"/>
      <c r="C32" s="235"/>
      <c r="D32" s="232"/>
      <c r="E32" s="232"/>
      <c r="F32" s="235"/>
      <c r="G32" s="235"/>
      <c r="H32" s="220"/>
      <c r="I32" s="220"/>
      <c r="J32" s="220"/>
      <c r="K32" s="21" t="s">
        <v>82</v>
      </c>
      <c r="L32" s="20">
        <v>1</v>
      </c>
      <c r="M32" s="235"/>
      <c r="N32" s="243"/>
    </row>
    <row r="33" spans="1:14" ht="15.6" customHeight="1" x14ac:dyDescent="0.25">
      <c r="A33" s="229"/>
      <c r="B33" s="235"/>
      <c r="C33" s="235"/>
      <c r="D33" s="232"/>
      <c r="E33" s="232"/>
      <c r="F33" s="235"/>
      <c r="G33" s="235"/>
      <c r="H33" s="220"/>
      <c r="I33" s="220"/>
      <c r="J33" s="220"/>
      <c r="K33" s="21" t="s">
        <v>83</v>
      </c>
      <c r="L33" s="20" t="s">
        <v>43</v>
      </c>
      <c r="M33" s="235"/>
      <c r="N33" s="243"/>
    </row>
    <row r="34" spans="1:14" ht="15.6" customHeight="1" x14ac:dyDescent="0.25">
      <c r="A34" s="229"/>
      <c r="B34" s="235"/>
      <c r="C34" s="235"/>
      <c r="D34" s="232"/>
      <c r="E34" s="232"/>
      <c r="F34" s="235"/>
      <c r="G34" s="235"/>
      <c r="H34" s="220"/>
      <c r="I34" s="220"/>
      <c r="J34" s="220"/>
      <c r="K34" s="21" t="s">
        <v>88</v>
      </c>
      <c r="L34" s="20" t="s">
        <v>97</v>
      </c>
      <c r="M34" s="235"/>
      <c r="N34" s="243"/>
    </row>
    <row r="35" spans="1:14" ht="15.6" customHeight="1" x14ac:dyDescent="0.25">
      <c r="A35" s="229"/>
      <c r="B35" s="235"/>
      <c r="C35" s="235"/>
      <c r="D35" s="232"/>
      <c r="E35" s="232"/>
      <c r="F35" s="235"/>
      <c r="G35" s="235"/>
      <c r="H35" s="220"/>
      <c r="I35" s="220"/>
      <c r="J35" s="220"/>
      <c r="K35" s="21" t="s">
        <v>84</v>
      </c>
      <c r="L35" s="130">
        <v>46032</v>
      </c>
      <c r="M35" s="235"/>
      <c r="N35" s="243"/>
    </row>
    <row r="36" spans="1:14" ht="15.6" customHeight="1" x14ac:dyDescent="0.25">
      <c r="A36" s="229"/>
      <c r="B36" s="235"/>
      <c r="C36" s="235"/>
      <c r="D36" s="232"/>
      <c r="E36" s="232"/>
      <c r="F36" s="235"/>
      <c r="G36" s="235"/>
      <c r="H36" s="220"/>
      <c r="I36" s="220"/>
      <c r="J36" s="220"/>
      <c r="K36" s="21" t="s">
        <v>85</v>
      </c>
      <c r="L36" s="20" t="s">
        <v>98</v>
      </c>
      <c r="M36" s="235"/>
      <c r="N36" s="243"/>
    </row>
    <row r="37" spans="1:14" ht="15.6" customHeight="1" x14ac:dyDescent="0.25">
      <c r="A37" s="229"/>
      <c r="B37" s="235"/>
      <c r="C37" s="235"/>
      <c r="D37" s="232"/>
      <c r="E37" s="232"/>
      <c r="F37" s="235"/>
      <c r="G37" s="235"/>
      <c r="H37" s="220"/>
      <c r="I37" s="220"/>
      <c r="J37" s="220"/>
      <c r="K37" s="21" t="s">
        <v>86</v>
      </c>
      <c r="L37" s="20" t="s">
        <v>99</v>
      </c>
      <c r="M37" s="235"/>
      <c r="N37" s="243"/>
    </row>
    <row r="38" spans="1:14" ht="15.6" customHeight="1" x14ac:dyDescent="0.25">
      <c r="A38" s="229"/>
      <c r="B38" s="235"/>
      <c r="C38" s="235"/>
      <c r="D38" s="232"/>
      <c r="E38" s="232"/>
      <c r="F38" s="235"/>
      <c r="G38" s="235"/>
      <c r="H38" s="220"/>
      <c r="I38" s="220"/>
      <c r="J38" s="220"/>
      <c r="K38" s="21" t="s">
        <v>87</v>
      </c>
      <c r="L38" s="20" t="s">
        <v>184</v>
      </c>
      <c r="M38" s="235"/>
      <c r="N38" s="243"/>
    </row>
    <row r="39" spans="1:14" ht="15.6" customHeight="1" x14ac:dyDescent="0.25">
      <c r="A39" s="229"/>
      <c r="B39" s="235"/>
      <c r="C39" s="235"/>
      <c r="D39" s="232"/>
      <c r="E39" s="232"/>
      <c r="F39" s="235"/>
      <c r="G39" s="235"/>
      <c r="H39" s="220"/>
      <c r="I39" s="220"/>
      <c r="J39" s="220"/>
      <c r="K39" s="21" t="s">
        <v>89</v>
      </c>
      <c r="L39" s="20" t="s">
        <v>100</v>
      </c>
      <c r="M39" s="235"/>
      <c r="N39" s="243"/>
    </row>
    <row r="40" spans="1:14" ht="16.2" customHeight="1" thickBot="1" x14ac:dyDescent="0.3">
      <c r="A40" s="230"/>
      <c r="B40" s="236"/>
      <c r="C40" s="236"/>
      <c r="D40" s="233"/>
      <c r="E40" s="233"/>
      <c r="F40" s="236"/>
      <c r="G40" s="236"/>
      <c r="H40" s="246"/>
      <c r="I40" s="246"/>
      <c r="J40" s="246"/>
      <c r="K40" s="118" t="s">
        <v>90</v>
      </c>
      <c r="L40" s="106" t="s">
        <v>43</v>
      </c>
      <c r="M40" s="236"/>
      <c r="N40" s="244"/>
    </row>
    <row r="41" spans="1:14" ht="15.6" thickBot="1" x14ac:dyDescent="0.3"/>
    <row r="42" spans="1:14" ht="15" customHeight="1" thickBot="1" x14ac:dyDescent="0.3">
      <c r="A42" s="228" t="s">
        <v>930</v>
      </c>
      <c r="B42" s="255"/>
      <c r="C42" s="255" t="s">
        <v>931</v>
      </c>
      <c r="D42" s="231" t="s">
        <v>432</v>
      </c>
      <c r="E42" s="231" t="s">
        <v>9</v>
      </c>
      <c r="F42" s="234" t="s">
        <v>719</v>
      </c>
      <c r="G42" s="234" t="s">
        <v>929</v>
      </c>
      <c r="H42" s="247" t="s">
        <v>995</v>
      </c>
      <c r="I42" s="247" t="s">
        <v>995</v>
      </c>
      <c r="J42" s="245" t="s">
        <v>974</v>
      </c>
      <c r="K42" s="69" t="s">
        <v>75</v>
      </c>
      <c r="L42" s="68" t="s">
        <v>128</v>
      </c>
      <c r="M42" s="234" t="s">
        <v>932</v>
      </c>
      <c r="N42" s="242" t="s">
        <v>731</v>
      </c>
    </row>
    <row r="43" spans="1:14" x14ac:dyDescent="0.25">
      <c r="A43" s="229"/>
      <c r="B43" s="235"/>
      <c r="C43" s="235"/>
      <c r="D43" s="232"/>
      <c r="E43" s="232"/>
      <c r="F43" s="235"/>
      <c r="G43" s="235"/>
      <c r="H43" s="220"/>
      <c r="I43" s="220"/>
      <c r="J43" s="220"/>
      <c r="K43" s="4" t="s">
        <v>76</v>
      </c>
      <c r="L43" s="14" t="str">
        <f>L42</f>
        <v>Money Maker EUR</v>
      </c>
      <c r="M43" s="235"/>
      <c r="N43" s="243"/>
    </row>
    <row r="44" spans="1:14" x14ac:dyDescent="0.25">
      <c r="A44" s="229"/>
      <c r="B44" s="235"/>
      <c r="C44" s="235"/>
      <c r="D44" s="232"/>
      <c r="E44" s="232"/>
      <c r="F44" s="235"/>
      <c r="G44" s="235"/>
      <c r="H44" s="220"/>
      <c r="I44" s="220"/>
      <c r="J44" s="220"/>
      <c r="K44" s="4" t="s">
        <v>77</v>
      </c>
      <c r="L44" s="14" t="s">
        <v>180</v>
      </c>
      <c r="M44" s="235"/>
      <c r="N44" s="243"/>
    </row>
    <row r="45" spans="1:14" x14ac:dyDescent="0.25">
      <c r="A45" s="229"/>
      <c r="B45" s="235"/>
      <c r="C45" s="235"/>
      <c r="D45" s="232"/>
      <c r="E45" s="232"/>
      <c r="F45" s="235"/>
      <c r="G45" s="235"/>
      <c r="H45" s="220"/>
      <c r="I45" s="220"/>
      <c r="J45" s="220"/>
      <c r="K45" s="4" t="s">
        <v>78</v>
      </c>
      <c r="L45" s="14" t="s">
        <v>157</v>
      </c>
      <c r="M45" s="235"/>
      <c r="N45" s="243"/>
    </row>
    <row r="46" spans="1:14" x14ac:dyDescent="0.25">
      <c r="A46" s="229"/>
      <c r="B46" s="235"/>
      <c r="C46" s="235"/>
      <c r="D46" s="232"/>
      <c r="E46" s="232"/>
      <c r="F46" s="235"/>
      <c r="G46" s="235"/>
      <c r="H46" s="220"/>
      <c r="I46" s="220"/>
      <c r="J46" s="220"/>
      <c r="K46" s="4" t="s">
        <v>79</v>
      </c>
      <c r="L46" s="14" t="s">
        <v>94</v>
      </c>
      <c r="M46" s="235"/>
      <c r="N46" s="243"/>
    </row>
    <row r="47" spans="1:14" x14ac:dyDescent="0.25">
      <c r="A47" s="229"/>
      <c r="B47" s="235"/>
      <c r="C47" s="235"/>
      <c r="D47" s="232"/>
      <c r="E47" s="232"/>
      <c r="F47" s="235"/>
      <c r="G47" s="235"/>
      <c r="H47" s="220"/>
      <c r="I47" s="220"/>
      <c r="J47" s="220"/>
      <c r="K47" s="4" t="s">
        <v>80</v>
      </c>
      <c r="L47" s="14" t="s">
        <v>95</v>
      </c>
      <c r="M47" s="235"/>
      <c r="N47" s="243"/>
    </row>
    <row r="48" spans="1:14" x14ac:dyDescent="0.25">
      <c r="A48" s="229"/>
      <c r="B48" s="235"/>
      <c r="C48" s="235"/>
      <c r="D48" s="232"/>
      <c r="E48" s="232"/>
      <c r="F48" s="235"/>
      <c r="G48" s="235"/>
      <c r="H48" s="220"/>
      <c r="I48" s="220"/>
      <c r="J48" s="220"/>
      <c r="K48" s="4" t="s">
        <v>81</v>
      </c>
      <c r="L48" s="33" t="s">
        <v>166</v>
      </c>
      <c r="M48" s="235"/>
      <c r="N48" s="243"/>
    </row>
    <row r="49" spans="1:14" x14ac:dyDescent="0.25">
      <c r="A49" s="229"/>
      <c r="B49" s="235"/>
      <c r="C49" s="235"/>
      <c r="D49" s="232"/>
      <c r="E49" s="232"/>
      <c r="F49" s="235"/>
      <c r="G49" s="235"/>
      <c r="H49" s="220"/>
      <c r="I49" s="220"/>
      <c r="J49" s="220"/>
      <c r="K49" s="4" t="s">
        <v>82</v>
      </c>
      <c r="L49" s="14" t="s">
        <v>181</v>
      </c>
      <c r="M49" s="235"/>
      <c r="N49" s="243"/>
    </row>
    <row r="50" spans="1:14" x14ac:dyDescent="0.25">
      <c r="A50" s="229"/>
      <c r="B50" s="235"/>
      <c r="C50" s="235"/>
      <c r="D50" s="232"/>
      <c r="E50" s="232"/>
      <c r="F50" s="235"/>
      <c r="G50" s="235"/>
      <c r="H50" s="220"/>
      <c r="I50" s="220"/>
      <c r="J50" s="220"/>
      <c r="K50" s="4" t="s">
        <v>83</v>
      </c>
      <c r="L50" s="19" t="s">
        <v>43</v>
      </c>
      <c r="M50" s="235"/>
      <c r="N50" s="243"/>
    </row>
    <row r="51" spans="1:14" x14ac:dyDescent="0.25">
      <c r="A51" s="229"/>
      <c r="B51" s="235"/>
      <c r="C51" s="235"/>
      <c r="D51" s="232"/>
      <c r="E51" s="232"/>
      <c r="F51" s="235"/>
      <c r="G51" s="235"/>
      <c r="H51" s="220"/>
      <c r="I51" s="220"/>
      <c r="J51" s="220"/>
      <c r="K51" s="4" t="s">
        <v>88</v>
      </c>
      <c r="L51" s="14" t="s">
        <v>174</v>
      </c>
      <c r="M51" s="235"/>
      <c r="N51" s="243"/>
    </row>
    <row r="52" spans="1:14" x14ac:dyDescent="0.25">
      <c r="A52" s="229"/>
      <c r="B52" s="235"/>
      <c r="C52" s="235"/>
      <c r="D52" s="232"/>
      <c r="E52" s="232"/>
      <c r="F52" s="235"/>
      <c r="G52" s="235"/>
      <c r="H52" s="220"/>
      <c r="I52" s="220"/>
      <c r="J52" s="220"/>
      <c r="K52" s="4" t="s">
        <v>84</v>
      </c>
      <c r="L52" s="35">
        <v>46032</v>
      </c>
      <c r="M52" s="235"/>
      <c r="N52" s="243"/>
    </row>
    <row r="53" spans="1:14" x14ac:dyDescent="0.25">
      <c r="A53" s="229"/>
      <c r="B53" s="235"/>
      <c r="C53" s="235"/>
      <c r="D53" s="232"/>
      <c r="E53" s="232"/>
      <c r="F53" s="235"/>
      <c r="G53" s="235"/>
      <c r="H53" s="220"/>
      <c r="I53" s="220"/>
      <c r="J53" s="220"/>
      <c r="K53" s="4" t="s">
        <v>85</v>
      </c>
      <c r="L53" s="14" t="str">
        <f>IF(L42="Donald Easter","Donal Easter LLC",IF(L42="Aspire Intl  ","Aspire International",IF(L42="Money Maker EUR","MoneyMaker Ltd",IF(L42="TanishQ Entrp","TanishQ Enterpresis","NA"))))</f>
        <v>MoneyMaker Ltd</v>
      </c>
      <c r="M53" s="235"/>
      <c r="N53" s="243"/>
    </row>
    <row r="54" spans="1:14" x14ac:dyDescent="0.25">
      <c r="A54" s="229"/>
      <c r="B54" s="235"/>
      <c r="C54" s="235"/>
      <c r="D54" s="232"/>
      <c r="E54" s="232"/>
      <c r="F54" s="235"/>
      <c r="G54" s="235"/>
      <c r="H54" s="220"/>
      <c r="I54" s="220"/>
      <c r="J54" s="220"/>
      <c r="K54" s="4" t="s">
        <v>86</v>
      </c>
      <c r="L54" s="14" t="s">
        <v>99</v>
      </c>
      <c r="M54" s="235"/>
      <c r="N54" s="243"/>
    </row>
    <row r="55" spans="1:14" x14ac:dyDescent="0.25">
      <c r="A55" s="229"/>
      <c r="B55" s="235"/>
      <c r="C55" s="235"/>
      <c r="D55" s="232"/>
      <c r="E55" s="232"/>
      <c r="F55" s="235"/>
      <c r="G55" s="235"/>
      <c r="H55" s="220"/>
      <c r="I55" s="220"/>
      <c r="J55" s="220"/>
      <c r="K55" s="4" t="s">
        <v>87</v>
      </c>
      <c r="L55" s="14">
        <v>8691047788</v>
      </c>
      <c r="M55" s="235"/>
      <c r="N55" s="243"/>
    </row>
    <row r="56" spans="1:14" x14ac:dyDescent="0.25">
      <c r="A56" s="229"/>
      <c r="B56" s="235"/>
      <c r="C56" s="235"/>
      <c r="D56" s="232"/>
      <c r="E56" s="232"/>
      <c r="F56" s="235"/>
      <c r="G56" s="235"/>
      <c r="H56" s="220"/>
      <c r="I56" s="220"/>
      <c r="J56" s="220"/>
      <c r="K56" s="4" t="s">
        <v>89</v>
      </c>
      <c r="L56" s="14" t="s">
        <v>121</v>
      </c>
      <c r="M56" s="235"/>
      <c r="N56" s="243"/>
    </row>
    <row r="57" spans="1:14" ht="15.6" thickBot="1" x14ac:dyDescent="0.3">
      <c r="A57" s="230"/>
      <c r="B57" s="236"/>
      <c r="C57" s="236"/>
      <c r="D57" s="233"/>
      <c r="E57" s="233"/>
      <c r="F57" s="236"/>
      <c r="G57" s="236"/>
      <c r="H57" s="246"/>
      <c r="I57" s="246"/>
      <c r="J57" s="246"/>
      <c r="K57" s="72" t="s">
        <v>90</v>
      </c>
      <c r="L57" s="73" t="s">
        <v>43</v>
      </c>
      <c r="M57" s="236"/>
      <c r="N57" s="244"/>
    </row>
    <row r="58" spans="1:14" ht="15.6" thickBot="1" x14ac:dyDescent="0.3"/>
    <row r="59" spans="1:14" ht="15" customHeight="1" thickBot="1" x14ac:dyDescent="0.3">
      <c r="A59" s="228" t="s">
        <v>933</v>
      </c>
      <c r="B59" s="234"/>
      <c r="C59" s="234" t="s">
        <v>728</v>
      </c>
      <c r="D59" s="231" t="s">
        <v>432</v>
      </c>
      <c r="E59" s="231" t="s">
        <v>9</v>
      </c>
      <c r="F59" s="234" t="s">
        <v>928</v>
      </c>
      <c r="G59" s="234" t="s">
        <v>929</v>
      </c>
      <c r="H59" s="247" t="s">
        <v>995</v>
      </c>
      <c r="I59" s="247" t="s">
        <v>995</v>
      </c>
      <c r="J59" s="245" t="s">
        <v>975</v>
      </c>
      <c r="K59" s="69" t="s">
        <v>75</v>
      </c>
      <c r="L59" s="68" t="s">
        <v>139</v>
      </c>
      <c r="M59" s="234" t="s">
        <v>720</v>
      </c>
      <c r="N59" s="242" t="s">
        <v>731</v>
      </c>
    </row>
    <row r="60" spans="1:14" x14ac:dyDescent="0.25">
      <c r="A60" s="229"/>
      <c r="B60" s="235"/>
      <c r="C60" s="235"/>
      <c r="D60" s="232"/>
      <c r="E60" s="232"/>
      <c r="F60" s="235"/>
      <c r="G60" s="235"/>
      <c r="H60" s="220"/>
      <c r="I60" s="220"/>
      <c r="J60" s="220"/>
      <c r="K60" s="4" t="s">
        <v>76</v>
      </c>
      <c r="L60" s="14" t="str">
        <f>L59</f>
        <v>TanishQ Entrp</v>
      </c>
      <c r="M60" s="235"/>
      <c r="N60" s="243"/>
    </row>
    <row r="61" spans="1:14" x14ac:dyDescent="0.25">
      <c r="A61" s="229"/>
      <c r="B61" s="235"/>
      <c r="C61" s="235"/>
      <c r="D61" s="232"/>
      <c r="E61" s="232"/>
      <c r="F61" s="235"/>
      <c r="G61" s="235"/>
      <c r="H61" s="220"/>
      <c r="I61" s="220"/>
      <c r="J61" s="220"/>
      <c r="K61" s="4" t="s">
        <v>77</v>
      </c>
      <c r="L61" s="14" t="s">
        <v>185</v>
      </c>
      <c r="M61" s="235"/>
      <c r="N61" s="243"/>
    </row>
    <row r="62" spans="1:14" x14ac:dyDescent="0.25">
      <c r="A62" s="229"/>
      <c r="B62" s="235"/>
      <c r="C62" s="235"/>
      <c r="D62" s="232"/>
      <c r="E62" s="232"/>
      <c r="F62" s="235"/>
      <c r="G62" s="235"/>
      <c r="H62" s="220"/>
      <c r="I62" s="220"/>
      <c r="J62" s="220"/>
      <c r="K62" s="4" t="s">
        <v>78</v>
      </c>
      <c r="L62" s="14" t="s">
        <v>157</v>
      </c>
      <c r="M62" s="235"/>
      <c r="N62" s="243"/>
    </row>
    <row r="63" spans="1:14" x14ac:dyDescent="0.25">
      <c r="A63" s="229"/>
      <c r="B63" s="235"/>
      <c r="C63" s="235"/>
      <c r="D63" s="232"/>
      <c r="E63" s="232"/>
      <c r="F63" s="235"/>
      <c r="G63" s="235"/>
      <c r="H63" s="220"/>
      <c r="I63" s="220"/>
      <c r="J63" s="220"/>
      <c r="K63" s="4" t="s">
        <v>79</v>
      </c>
      <c r="L63" s="14" t="s">
        <v>94</v>
      </c>
      <c r="M63" s="235"/>
      <c r="N63" s="243"/>
    </row>
    <row r="64" spans="1:14" x14ac:dyDescent="0.25">
      <c r="A64" s="229"/>
      <c r="B64" s="235"/>
      <c r="C64" s="235"/>
      <c r="D64" s="232"/>
      <c r="E64" s="232"/>
      <c r="F64" s="235"/>
      <c r="G64" s="235"/>
      <c r="H64" s="220"/>
      <c r="I64" s="220"/>
      <c r="J64" s="220"/>
      <c r="K64" s="4" t="s">
        <v>80</v>
      </c>
      <c r="L64" s="14" t="s">
        <v>95</v>
      </c>
      <c r="M64" s="235"/>
      <c r="N64" s="243"/>
    </row>
    <row r="65" spans="1:14" x14ac:dyDescent="0.25">
      <c r="A65" s="229"/>
      <c r="B65" s="235"/>
      <c r="C65" s="235"/>
      <c r="D65" s="232"/>
      <c r="E65" s="232"/>
      <c r="F65" s="235"/>
      <c r="G65" s="235"/>
      <c r="H65" s="220"/>
      <c r="I65" s="220"/>
      <c r="J65" s="220"/>
      <c r="K65" s="4" t="s">
        <v>81</v>
      </c>
      <c r="L65" s="33" t="s">
        <v>165</v>
      </c>
      <c r="M65" s="235"/>
      <c r="N65" s="243"/>
    </row>
    <row r="66" spans="1:14" x14ac:dyDescent="0.25">
      <c r="A66" s="229"/>
      <c r="B66" s="235"/>
      <c r="C66" s="235"/>
      <c r="D66" s="232"/>
      <c r="E66" s="232"/>
      <c r="F66" s="235"/>
      <c r="G66" s="235"/>
      <c r="H66" s="220"/>
      <c r="I66" s="220"/>
      <c r="J66" s="220"/>
      <c r="K66" s="4" t="s">
        <v>82</v>
      </c>
      <c r="L66" s="14">
        <v>2</v>
      </c>
      <c r="M66" s="235"/>
      <c r="N66" s="243"/>
    </row>
    <row r="67" spans="1:14" x14ac:dyDescent="0.25">
      <c r="A67" s="229"/>
      <c r="B67" s="235"/>
      <c r="C67" s="235"/>
      <c r="D67" s="232"/>
      <c r="E67" s="232"/>
      <c r="F67" s="235"/>
      <c r="G67" s="235"/>
      <c r="H67" s="220"/>
      <c r="I67" s="220"/>
      <c r="J67" s="220"/>
      <c r="K67" s="4" t="s">
        <v>186</v>
      </c>
      <c r="L67" s="14" t="s">
        <v>187</v>
      </c>
      <c r="M67" s="235"/>
      <c r="N67" s="243"/>
    </row>
    <row r="68" spans="1:14" x14ac:dyDescent="0.25">
      <c r="A68" s="229"/>
      <c r="B68" s="235"/>
      <c r="C68" s="235"/>
      <c r="D68" s="232"/>
      <c r="E68" s="232"/>
      <c r="F68" s="235"/>
      <c r="G68" s="235"/>
      <c r="H68" s="220"/>
      <c r="I68" s="220"/>
      <c r="J68" s="220"/>
      <c r="K68" s="4" t="s">
        <v>83</v>
      </c>
      <c r="L68" s="19" t="s">
        <v>43</v>
      </c>
      <c r="M68" s="235"/>
      <c r="N68" s="243"/>
    </row>
    <row r="69" spans="1:14" x14ac:dyDescent="0.25">
      <c r="A69" s="229"/>
      <c r="B69" s="235"/>
      <c r="C69" s="235"/>
      <c r="D69" s="232"/>
      <c r="E69" s="232"/>
      <c r="F69" s="235"/>
      <c r="G69" s="235"/>
      <c r="H69" s="220"/>
      <c r="I69" s="220"/>
      <c r="J69" s="220"/>
      <c r="K69" s="4" t="s">
        <v>88</v>
      </c>
      <c r="L69" s="14" t="s">
        <v>97</v>
      </c>
      <c r="M69" s="235"/>
      <c r="N69" s="243"/>
    </row>
    <row r="70" spans="1:14" x14ac:dyDescent="0.25">
      <c r="A70" s="229"/>
      <c r="B70" s="235"/>
      <c r="C70" s="235"/>
      <c r="D70" s="232"/>
      <c r="E70" s="232"/>
      <c r="F70" s="235"/>
      <c r="G70" s="235"/>
      <c r="H70" s="220"/>
      <c r="I70" s="220"/>
      <c r="J70" s="220"/>
      <c r="K70" s="4" t="s">
        <v>84</v>
      </c>
      <c r="L70" s="35">
        <v>46032</v>
      </c>
      <c r="M70" s="235"/>
      <c r="N70" s="243"/>
    </row>
    <row r="71" spans="1:14" x14ac:dyDescent="0.25">
      <c r="A71" s="229"/>
      <c r="B71" s="235"/>
      <c r="C71" s="235"/>
      <c r="D71" s="232"/>
      <c r="E71" s="232"/>
      <c r="F71" s="235"/>
      <c r="G71" s="235"/>
      <c r="H71" s="220"/>
      <c r="I71" s="220"/>
      <c r="J71" s="220"/>
      <c r="K71" s="4" t="s">
        <v>85</v>
      </c>
      <c r="L71" s="14" t="str">
        <f>IF(L59="Donald Easter","Donal Easter LLC",IF(L59="Aspire Intl  ","Aspire International",IF(L59="Money Maker EUR","MoneyMaker Ltd",IF(L59="TanishQ Entrp","TanishQ Enterpresis","NA"))))</f>
        <v>TanishQ Enterpresis</v>
      </c>
      <c r="M71" s="235"/>
      <c r="N71" s="243"/>
    </row>
    <row r="72" spans="1:14" x14ac:dyDescent="0.25">
      <c r="A72" s="229"/>
      <c r="B72" s="235"/>
      <c r="C72" s="235"/>
      <c r="D72" s="232"/>
      <c r="E72" s="232"/>
      <c r="F72" s="235"/>
      <c r="G72" s="235"/>
      <c r="H72" s="220"/>
      <c r="I72" s="220"/>
      <c r="J72" s="220"/>
      <c r="K72" s="4" t="s">
        <v>86</v>
      </c>
      <c r="L72" s="14" t="s">
        <v>190</v>
      </c>
      <c r="M72" s="235"/>
      <c r="N72" s="243"/>
    </row>
    <row r="73" spans="1:14" x14ac:dyDescent="0.25">
      <c r="A73" s="229"/>
      <c r="B73" s="235"/>
      <c r="C73" s="235"/>
      <c r="D73" s="232"/>
      <c r="E73" s="232"/>
      <c r="F73" s="235"/>
      <c r="G73" s="235"/>
      <c r="H73" s="220"/>
      <c r="I73" s="220"/>
      <c r="J73" s="220"/>
      <c r="K73" s="4" t="s">
        <v>87</v>
      </c>
      <c r="L73" s="14">
        <v>8691047788</v>
      </c>
      <c r="M73" s="235"/>
      <c r="N73" s="243"/>
    </row>
    <row r="74" spans="1:14" x14ac:dyDescent="0.25">
      <c r="A74" s="229"/>
      <c r="B74" s="235"/>
      <c r="C74" s="235"/>
      <c r="D74" s="232"/>
      <c r="E74" s="232"/>
      <c r="F74" s="235"/>
      <c r="G74" s="235"/>
      <c r="H74" s="220"/>
      <c r="I74" s="220"/>
      <c r="J74" s="220"/>
      <c r="K74" s="4" t="s">
        <v>89</v>
      </c>
      <c r="L74" s="14" t="s">
        <v>178</v>
      </c>
      <c r="M74" s="235"/>
      <c r="N74" s="243"/>
    </row>
    <row r="75" spans="1:14" ht="15.6" thickBot="1" x14ac:dyDescent="0.3">
      <c r="A75" s="230"/>
      <c r="B75" s="236"/>
      <c r="C75" s="236"/>
      <c r="D75" s="233"/>
      <c r="E75" s="233"/>
      <c r="F75" s="236"/>
      <c r="G75" s="236"/>
      <c r="H75" s="246"/>
      <c r="I75" s="246"/>
      <c r="J75" s="246"/>
      <c r="K75" s="72" t="s">
        <v>90</v>
      </c>
      <c r="L75" s="73" t="s">
        <v>43</v>
      </c>
      <c r="M75" s="236"/>
      <c r="N75" s="244"/>
    </row>
    <row r="76" spans="1:14" ht="15.6" thickBot="1" x14ac:dyDescent="0.3"/>
    <row r="77" spans="1:14" ht="15" customHeight="1" thickBot="1" x14ac:dyDescent="0.3">
      <c r="A77" s="228" t="s">
        <v>934</v>
      </c>
      <c r="B77" s="234"/>
      <c r="C77" s="234" t="s">
        <v>728</v>
      </c>
      <c r="D77" s="231" t="s">
        <v>432</v>
      </c>
      <c r="E77" s="231" t="s">
        <v>9</v>
      </c>
      <c r="F77" s="234" t="s">
        <v>928</v>
      </c>
      <c r="G77" s="234" t="s">
        <v>929</v>
      </c>
      <c r="H77" s="247" t="s">
        <v>995</v>
      </c>
      <c r="I77" s="247" t="s">
        <v>995</v>
      </c>
      <c r="J77" s="245" t="s">
        <v>976</v>
      </c>
      <c r="K77" s="69" t="s">
        <v>75</v>
      </c>
      <c r="L77" s="68" t="s">
        <v>153</v>
      </c>
      <c r="M77" s="234" t="s">
        <v>720</v>
      </c>
      <c r="N77" s="242" t="s">
        <v>731</v>
      </c>
    </row>
    <row r="78" spans="1:14" ht="15.6" customHeight="1" x14ac:dyDescent="0.25">
      <c r="A78" s="229"/>
      <c r="B78" s="235"/>
      <c r="C78" s="235"/>
      <c r="D78" s="232"/>
      <c r="E78" s="232"/>
      <c r="F78" s="235"/>
      <c r="G78" s="235"/>
      <c r="H78" s="220"/>
      <c r="I78" s="220"/>
      <c r="J78" s="220"/>
      <c r="K78" s="4" t="s">
        <v>76</v>
      </c>
      <c r="L78" s="14" t="str">
        <f>L77</f>
        <v>Donald Easter</v>
      </c>
      <c r="M78" s="235"/>
      <c r="N78" s="243"/>
    </row>
    <row r="79" spans="1:14" ht="15.6" customHeight="1" x14ac:dyDescent="0.25">
      <c r="A79" s="229"/>
      <c r="B79" s="235"/>
      <c r="C79" s="235"/>
      <c r="D79" s="232"/>
      <c r="E79" s="232"/>
      <c r="F79" s="235"/>
      <c r="G79" s="235"/>
      <c r="H79" s="220"/>
      <c r="I79" s="220"/>
      <c r="J79" s="220"/>
      <c r="K79" s="4" t="s">
        <v>77</v>
      </c>
      <c r="L79" s="14" t="s">
        <v>180</v>
      </c>
      <c r="M79" s="235"/>
      <c r="N79" s="243"/>
    </row>
    <row r="80" spans="1:14" ht="15.6" customHeight="1" x14ac:dyDescent="0.25">
      <c r="A80" s="229"/>
      <c r="B80" s="235"/>
      <c r="C80" s="235"/>
      <c r="D80" s="232"/>
      <c r="E80" s="232"/>
      <c r="F80" s="235"/>
      <c r="G80" s="235"/>
      <c r="H80" s="220"/>
      <c r="I80" s="220"/>
      <c r="J80" s="220"/>
      <c r="K80" s="4" t="s">
        <v>78</v>
      </c>
      <c r="L80" s="14" t="s">
        <v>158</v>
      </c>
      <c r="M80" s="235"/>
      <c r="N80" s="243"/>
    </row>
    <row r="81" spans="1:14" ht="15.6" customHeight="1" x14ac:dyDescent="0.25">
      <c r="A81" s="229"/>
      <c r="B81" s="235"/>
      <c r="C81" s="235"/>
      <c r="D81" s="232"/>
      <c r="E81" s="232"/>
      <c r="F81" s="235"/>
      <c r="G81" s="235"/>
      <c r="H81" s="220"/>
      <c r="I81" s="220"/>
      <c r="J81" s="220"/>
      <c r="K81" s="4" t="s">
        <v>79</v>
      </c>
      <c r="L81" s="14" t="s">
        <v>94</v>
      </c>
      <c r="M81" s="235"/>
      <c r="N81" s="243"/>
    </row>
    <row r="82" spans="1:14" ht="15.6" customHeight="1" x14ac:dyDescent="0.25">
      <c r="A82" s="229"/>
      <c r="B82" s="235"/>
      <c r="C82" s="235"/>
      <c r="D82" s="232"/>
      <c r="E82" s="232"/>
      <c r="F82" s="235"/>
      <c r="G82" s="235"/>
      <c r="H82" s="220"/>
      <c r="I82" s="220"/>
      <c r="J82" s="220"/>
      <c r="K82" s="4" t="s">
        <v>80</v>
      </c>
      <c r="L82" s="14" t="s">
        <v>95</v>
      </c>
      <c r="M82" s="235"/>
      <c r="N82" s="243"/>
    </row>
    <row r="83" spans="1:14" ht="15.6" customHeight="1" x14ac:dyDescent="0.25">
      <c r="A83" s="229"/>
      <c r="B83" s="235"/>
      <c r="C83" s="235"/>
      <c r="D83" s="232"/>
      <c r="E83" s="232"/>
      <c r="F83" s="235"/>
      <c r="G83" s="235"/>
      <c r="H83" s="220"/>
      <c r="I83" s="220"/>
      <c r="J83" s="220"/>
      <c r="K83" s="4" t="s">
        <v>81</v>
      </c>
      <c r="L83" s="33" t="s">
        <v>167</v>
      </c>
      <c r="M83" s="235"/>
      <c r="N83" s="243"/>
    </row>
    <row r="84" spans="1:14" ht="15.6" customHeight="1" x14ac:dyDescent="0.25">
      <c r="A84" s="229"/>
      <c r="B84" s="235"/>
      <c r="C84" s="235"/>
      <c r="D84" s="232"/>
      <c r="E84" s="232"/>
      <c r="F84" s="235"/>
      <c r="G84" s="235"/>
      <c r="H84" s="220"/>
      <c r="I84" s="220"/>
      <c r="J84" s="220"/>
      <c r="K84" s="4" t="s">
        <v>82</v>
      </c>
      <c r="L84" s="14">
        <v>3</v>
      </c>
      <c r="M84" s="235"/>
      <c r="N84" s="243"/>
    </row>
    <row r="85" spans="1:14" ht="15.6" customHeight="1" x14ac:dyDescent="0.25">
      <c r="A85" s="229"/>
      <c r="B85" s="235"/>
      <c r="C85" s="235"/>
      <c r="D85" s="232"/>
      <c r="E85" s="232"/>
      <c r="F85" s="235"/>
      <c r="G85" s="235"/>
      <c r="H85" s="220"/>
      <c r="I85" s="220"/>
      <c r="J85" s="220"/>
      <c r="K85" s="4" t="s">
        <v>83</v>
      </c>
      <c r="L85" s="19" t="s">
        <v>43</v>
      </c>
      <c r="M85" s="235"/>
      <c r="N85" s="243"/>
    </row>
    <row r="86" spans="1:14" ht="15.6" customHeight="1" x14ac:dyDescent="0.25">
      <c r="A86" s="229"/>
      <c r="B86" s="235"/>
      <c r="C86" s="235"/>
      <c r="D86" s="232"/>
      <c r="E86" s="232"/>
      <c r="F86" s="235"/>
      <c r="G86" s="235"/>
      <c r="H86" s="220"/>
      <c r="I86" s="220"/>
      <c r="J86" s="220"/>
      <c r="K86" s="4" t="s">
        <v>193</v>
      </c>
      <c r="L86" s="19" t="s">
        <v>194</v>
      </c>
      <c r="M86" s="235"/>
      <c r="N86" s="243"/>
    </row>
    <row r="87" spans="1:14" ht="15.6" customHeight="1" x14ac:dyDescent="0.25">
      <c r="A87" s="229"/>
      <c r="B87" s="235"/>
      <c r="C87" s="235"/>
      <c r="D87" s="232"/>
      <c r="E87" s="232"/>
      <c r="F87" s="235"/>
      <c r="G87" s="235"/>
      <c r="H87" s="220"/>
      <c r="I87" s="220"/>
      <c r="J87" s="220"/>
      <c r="K87" s="4" t="s">
        <v>195</v>
      </c>
      <c r="L87" s="19" t="s">
        <v>43</v>
      </c>
      <c r="M87" s="235"/>
      <c r="N87" s="243"/>
    </row>
    <row r="88" spans="1:14" ht="15.6" customHeight="1" x14ac:dyDescent="0.25">
      <c r="A88" s="229"/>
      <c r="B88" s="235"/>
      <c r="C88" s="235"/>
      <c r="D88" s="232"/>
      <c r="E88" s="232"/>
      <c r="F88" s="235"/>
      <c r="G88" s="235"/>
      <c r="H88" s="220"/>
      <c r="I88" s="220"/>
      <c r="J88" s="220"/>
      <c r="K88" s="4" t="s">
        <v>88</v>
      </c>
      <c r="L88" s="14" t="s">
        <v>175</v>
      </c>
      <c r="M88" s="235"/>
      <c r="N88" s="243"/>
    </row>
    <row r="89" spans="1:14" ht="15.6" customHeight="1" x14ac:dyDescent="0.25">
      <c r="A89" s="229"/>
      <c r="B89" s="235"/>
      <c r="C89" s="235"/>
      <c r="D89" s="232"/>
      <c r="E89" s="232"/>
      <c r="F89" s="235"/>
      <c r="G89" s="235"/>
      <c r="H89" s="220"/>
      <c r="I89" s="220"/>
      <c r="J89" s="220"/>
      <c r="K89" s="4" t="s">
        <v>84</v>
      </c>
      <c r="L89" s="35">
        <v>46032</v>
      </c>
      <c r="M89" s="235"/>
      <c r="N89" s="243"/>
    </row>
    <row r="90" spans="1:14" ht="15.6" customHeight="1" x14ac:dyDescent="0.25">
      <c r="A90" s="229"/>
      <c r="B90" s="235"/>
      <c r="C90" s="235"/>
      <c r="D90" s="232"/>
      <c r="E90" s="232"/>
      <c r="F90" s="235"/>
      <c r="G90" s="235"/>
      <c r="H90" s="220"/>
      <c r="I90" s="220"/>
      <c r="J90" s="220"/>
      <c r="K90" s="4" t="s">
        <v>85</v>
      </c>
      <c r="L90" s="14" t="str">
        <f>IF(L77="Donald Easter","Donal Easter LLC",IF(L77="Aspire Intl  ","Aspire International",IF(L77="Money Maker EUR","MoneyMaker Ltd",IF(L77="TanishQ Entrp","TanishQ Enterpresis","NA"))))</f>
        <v>Donal Easter LLC</v>
      </c>
      <c r="M90" s="235"/>
      <c r="N90" s="243"/>
    </row>
    <row r="91" spans="1:14" ht="15.6" customHeight="1" x14ac:dyDescent="0.25">
      <c r="A91" s="229"/>
      <c r="B91" s="235"/>
      <c r="C91" s="235"/>
      <c r="D91" s="232"/>
      <c r="E91" s="232"/>
      <c r="F91" s="235"/>
      <c r="G91" s="235"/>
      <c r="H91" s="220"/>
      <c r="I91" s="220"/>
      <c r="J91" s="220"/>
      <c r="K91" s="4" t="s">
        <v>86</v>
      </c>
      <c r="L91" s="14" t="s">
        <v>192</v>
      </c>
      <c r="M91" s="235"/>
      <c r="N91" s="243"/>
    </row>
    <row r="92" spans="1:14" ht="15.6" customHeight="1" x14ac:dyDescent="0.25">
      <c r="A92" s="229"/>
      <c r="B92" s="235"/>
      <c r="C92" s="235"/>
      <c r="D92" s="232"/>
      <c r="E92" s="232"/>
      <c r="F92" s="235"/>
      <c r="G92" s="235"/>
      <c r="H92" s="220"/>
      <c r="I92" s="220"/>
      <c r="J92" s="220"/>
      <c r="K92" s="4" t="s">
        <v>87</v>
      </c>
      <c r="L92" s="14">
        <v>8691047788</v>
      </c>
      <c r="M92" s="235"/>
      <c r="N92" s="243"/>
    </row>
    <row r="93" spans="1:14" ht="15.6" customHeight="1" x14ac:dyDescent="0.25">
      <c r="A93" s="229"/>
      <c r="B93" s="235"/>
      <c r="C93" s="235"/>
      <c r="D93" s="232"/>
      <c r="E93" s="232"/>
      <c r="F93" s="235"/>
      <c r="G93" s="235"/>
      <c r="H93" s="220"/>
      <c r="I93" s="220"/>
      <c r="J93" s="220"/>
      <c r="K93" s="4" t="s">
        <v>89</v>
      </c>
      <c r="L93" s="14" t="s">
        <v>177</v>
      </c>
      <c r="M93" s="235"/>
      <c r="N93" s="243"/>
    </row>
    <row r="94" spans="1:14" ht="16.2" customHeight="1" thickBot="1" x14ac:dyDescent="0.3">
      <c r="A94" s="230"/>
      <c r="B94" s="236"/>
      <c r="C94" s="236"/>
      <c r="D94" s="233"/>
      <c r="E94" s="233"/>
      <c r="F94" s="236"/>
      <c r="G94" s="236"/>
      <c r="H94" s="246"/>
      <c r="I94" s="246"/>
      <c r="J94" s="246"/>
      <c r="K94" s="72" t="s">
        <v>90</v>
      </c>
      <c r="L94" s="73" t="s">
        <v>43</v>
      </c>
      <c r="M94" s="236"/>
      <c r="N94" s="244"/>
    </row>
    <row r="95" spans="1:14" ht="15.6" thickBot="1" x14ac:dyDescent="0.3">
      <c r="K95" s="46"/>
      <c r="L95" s="133"/>
    </row>
    <row r="96" spans="1:14" ht="15" customHeight="1" thickBot="1" x14ac:dyDescent="0.3">
      <c r="A96" s="228" t="s">
        <v>936</v>
      </c>
      <c r="B96" s="234"/>
      <c r="C96" s="234" t="s">
        <v>728</v>
      </c>
      <c r="D96" s="231" t="s">
        <v>432</v>
      </c>
      <c r="E96" s="231" t="s">
        <v>9</v>
      </c>
      <c r="F96" s="234" t="s">
        <v>928</v>
      </c>
      <c r="G96" s="234" t="s">
        <v>929</v>
      </c>
      <c r="H96" s="247" t="s">
        <v>994</v>
      </c>
      <c r="I96" s="247" t="s">
        <v>994</v>
      </c>
      <c r="J96" s="245" t="s">
        <v>977</v>
      </c>
      <c r="K96" s="69" t="s">
        <v>75</v>
      </c>
      <c r="L96" s="68" t="s">
        <v>249</v>
      </c>
      <c r="M96" s="234" t="s">
        <v>720</v>
      </c>
      <c r="N96" s="242" t="s">
        <v>731</v>
      </c>
    </row>
    <row r="97" spans="1:14" x14ac:dyDescent="0.25">
      <c r="A97" s="229"/>
      <c r="B97" s="235"/>
      <c r="C97" s="235"/>
      <c r="D97" s="232"/>
      <c r="E97" s="232"/>
      <c r="F97" s="235"/>
      <c r="G97" s="235"/>
      <c r="H97" s="220"/>
      <c r="I97" s="220"/>
      <c r="J97" s="220"/>
      <c r="K97" s="4" t="s">
        <v>76</v>
      </c>
      <c r="L97" s="14" t="str">
        <f>L96</f>
        <v xml:space="preserve">Aspire Intl  </v>
      </c>
      <c r="M97" s="235"/>
      <c r="N97" s="243"/>
    </row>
    <row r="98" spans="1:14" x14ac:dyDescent="0.25">
      <c r="A98" s="229"/>
      <c r="B98" s="235"/>
      <c r="C98" s="235"/>
      <c r="D98" s="232"/>
      <c r="E98" s="232"/>
      <c r="F98" s="235"/>
      <c r="G98" s="235"/>
      <c r="H98" s="220"/>
      <c r="I98" s="220"/>
      <c r="J98" s="220"/>
      <c r="K98" s="4" t="s">
        <v>77</v>
      </c>
      <c r="L98" s="14" t="s">
        <v>180</v>
      </c>
      <c r="M98" s="235"/>
      <c r="N98" s="243"/>
    </row>
    <row r="99" spans="1:14" x14ac:dyDescent="0.25">
      <c r="A99" s="229"/>
      <c r="B99" s="235"/>
      <c r="C99" s="235"/>
      <c r="D99" s="232"/>
      <c r="E99" s="232"/>
      <c r="F99" s="235"/>
      <c r="G99" s="235"/>
      <c r="H99" s="220"/>
      <c r="I99" s="220"/>
      <c r="J99" s="220"/>
      <c r="K99" s="4" t="s">
        <v>78</v>
      </c>
      <c r="L99" s="14" t="s">
        <v>158</v>
      </c>
      <c r="M99" s="235"/>
      <c r="N99" s="243"/>
    </row>
    <row r="100" spans="1:14" x14ac:dyDescent="0.25">
      <c r="A100" s="229"/>
      <c r="B100" s="235"/>
      <c r="C100" s="235"/>
      <c r="D100" s="232"/>
      <c r="E100" s="232"/>
      <c r="F100" s="235"/>
      <c r="G100" s="235"/>
      <c r="H100" s="220"/>
      <c r="I100" s="220"/>
      <c r="J100" s="220"/>
      <c r="K100" s="4" t="s">
        <v>79</v>
      </c>
      <c r="L100" s="14" t="s">
        <v>94</v>
      </c>
      <c r="M100" s="235"/>
      <c r="N100" s="243"/>
    </row>
    <row r="101" spans="1:14" x14ac:dyDescent="0.25">
      <c r="A101" s="229"/>
      <c r="B101" s="235"/>
      <c r="C101" s="235"/>
      <c r="D101" s="232"/>
      <c r="E101" s="232"/>
      <c r="F101" s="235"/>
      <c r="G101" s="235"/>
      <c r="H101" s="220"/>
      <c r="I101" s="220"/>
      <c r="J101" s="220"/>
      <c r="K101" s="4" t="s">
        <v>201</v>
      </c>
      <c r="L101" s="14" t="s">
        <v>197</v>
      </c>
      <c r="M101" s="235"/>
      <c r="N101" s="243"/>
    </row>
    <row r="102" spans="1:14" x14ac:dyDescent="0.25">
      <c r="A102" s="229"/>
      <c r="B102" s="235"/>
      <c r="C102" s="235"/>
      <c r="D102" s="232"/>
      <c r="E102" s="232"/>
      <c r="F102" s="235"/>
      <c r="G102" s="235"/>
      <c r="H102" s="220"/>
      <c r="I102" s="220"/>
      <c r="J102" s="220"/>
      <c r="K102" s="4" t="s">
        <v>81</v>
      </c>
      <c r="L102" s="33" t="s">
        <v>167</v>
      </c>
      <c r="M102" s="235"/>
      <c r="N102" s="243"/>
    </row>
    <row r="103" spans="1:14" x14ac:dyDescent="0.25">
      <c r="A103" s="229"/>
      <c r="B103" s="235"/>
      <c r="C103" s="235"/>
      <c r="D103" s="232"/>
      <c r="E103" s="232"/>
      <c r="F103" s="235"/>
      <c r="G103" s="235"/>
      <c r="H103" s="220"/>
      <c r="I103" s="220"/>
      <c r="J103" s="220"/>
      <c r="K103" s="4" t="s">
        <v>82</v>
      </c>
      <c r="L103" s="14">
        <v>3</v>
      </c>
      <c r="M103" s="235"/>
      <c r="N103" s="243"/>
    </row>
    <row r="104" spans="1:14" x14ac:dyDescent="0.25">
      <c r="A104" s="229"/>
      <c r="B104" s="235"/>
      <c r="C104" s="235"/>
      <c r="D104" s="232"/>
      <c r="E104" s="232"/>
      <c r="F104" s="235"/>
      <c r="G104" s="235"/>
      <c r="H104" s="220"/>
      <c r="I104" s="220"/>
      <c r="J104" s="220"/>
      <c r="K104" s="4" t="s">
        <v>83</v>
      </c>
      <c r="L104" s="19" t="s">
        <v>43</v>
      </c>
      <c r="M104" s="235"/>
      <c r="N104" s="243"/>
    </row>
    <row r="105" spans="1:14" x14ac:dyDescent="0.25">
      <c r="A105" s="229"/>
      <c r="B105" s="235"/>
      <c r="C105" s="235"/>
      <c r="D105" s="232"/>
      <c r="E105" s="232"/>
      <c r="F105" s="235"/>
      <c r="G105" s="235"/>
      <c r="H105" s="220"/>
      <c r="I105" s="220"/>
      <c r="J105" s="220"/>
      <c r="K105" s="4" t="s">
        <v>193</v>
      </c>
      <c r="L105" s="19">
        <v>20</v>
      </c>
      <c r="M105" s="235"/>
      <c r="N105" s="243"/>
    </row>
    <row r="106" spans="1:14" x14ac:dyDescent="0.25">
      <c r="A106" s="229"/>
      <c r="B106" s="235"/>
      <c r="C106" s="235"/>
      <c r="D106" s="232"/>
      <c r="E106" s="232"/>
      <c r="F106" s="235"/>
      <c r="G106" s="235"/>
      <c r="H106" s="220"/>
      <c r="I106" s="220"/>
      <c r="J106" s="220"/>
      <c r="K106" s="4" t="s">
        <v>195</v>
      </c>
      <c r="L106" s="19" t="s">
        <v>43</v>
      </c>
      <c r="M106" s="235"/>
      <c r="N106" s="243"/>
    </row>
    <row r="107" spans="1:14" x14ac:dyDescent="0.25">
      <c r="A107" s="229"/>
      <c r="B107" s="235"/>
      <c r="C107" s="235"/>
      <c r="D107" s="232"/>
      <c r="E107" s="232"/>
      <c r="F107" s="235"/>
      <c r="G107" s="235"/>
      <c r="H107" s="220"/>
      <c r="I107" s="220"/>
      <c r="J107" s="220"/>
      <c r="K107" s="4" t="s">
        <v>88</v>
      </c>
      <c r="L107" s="14" t="s">
        <v>175</v>
      </c>
      <c r="M107" s="235"/>
      <c r="N107" s="243"/>
    </row>
    <row r="108" spans="1:14" x14ac:dyDescent="0.25">
      <c r="A108" s="229"/>
      <c r="B108" s="235"/>
      <c r="C108" s="235"/>
      <c r="D108" s="232"/>
      <c r="E108" s="232"/>
      <c r="F108" s="235"/>
      <c r="G108" s="235"/>
      <c r="H108" s="220"/>
      <c r="I108" s="220"/>
      <c r="J108" s="220"/>
      <c r="K108" s="4" t="s">
        <v>84</v>
      </c>
      <c r="L108" s="35">
        <v>46032</v>
      </c>
      <c r="M108" s="235"/>
      <c r="N108" s="243"/>
    </row>
    <row r="109" spans="1:14" x14ac:dyDescent="0.25">
      <c r="A109" s="229"/>
      <c r="B109" s="235"/>
      <c r="C109" s="235"/>
      <c r="D109" s="232"/>
      <c r="E109" s="232"/>
      <c r="F109" s="235"/>
      <c r="G109" s="235"/>
      <c r="H109" s="220"/>
      <c r="I109" s="220"/>
      <c r="J109" s="220"/>
      <c r="K109" s="4" t="s">
        <v>85</v>
      </c>
      <c r="L109" s="14" t="str">
        <f>IF(L96="Donald Easter","Donal Easter LLC",IF(L96="Aspire Intl  ","Aspire International",IF(L96="Money Maker EUR","MoneyMaker Ltd",IF(L96="TanishQ Entrp","TanishQ Enterpresis","NA"))))</f>
        <v>Aspire International</v>
      </c>
      <c r="M109" s="235"/>
      <c r="N109" s="243"/>
    </row>
    <row r="110" spans="1:14" x14ac:dyDescent="0.25">
      <c r="A110" s="229"/>
      <c r="B110" s="235"/>
      <c r="C110" s="235"/>
      <c r="D110" s="232"/>
      <c r="E110" s="232"/>
      <c r="F110" s="235"/>
      <c r="G110" s="235"/>
      <c r="H110" s="220"/>
      <c r="I110" s="220"/>
      <c r="J110" s="220"/>
      <c r="K110" s="4" t="s">
        <v>86</v>
      </c>
      <c r="L110" s="14" t="s">
        <v>192</v>
      </c>
      <c r="M110" s="235"/>
      <c r="N110" s="243"/>
    </row>
    <row r="111" spans="1:14" x14ac:dyDescent="0.25">
      <c r="A111" s="229"/>
      <c r="B111" s="235"/>
      <c r="C111" s="235"/>
      <c r="D111" s="232"/>
      <c r="E111" s="232"/>
      <c r="F111" s="235"/>
      <c r="G111" s="235"/>
      <c r="H111" s="220"/>
      <c r="I111" s="220"/>
      <c r="J111" s="220"/>
      <c r="K111" s="4" t="s">
        <v>87</v>
      </c>
      <c r="L111" s="14">
        <v>8691047788</v>
      </c>
      <c r="M111" s="235"/>
      <c r="N111" s="243"/>
    </row>
    <row r="112" spans="1:14" x14ac:dyDescent="0.25">
      <c r="A112" s="229"/>
      <c r="B112" s="235"/>
      <c r="C112" s="235"/>
      <c r="D112" s="232"/>
      <c r="E112" s="232"/>
      <c r="F112" s="235"/>
      <c r="G112" s="235"/>
      <c r="H112" s="220"/>
      <c r="I112" s="220"/>
      <c r="J112" s="220"/>
      <c r="K112" s="4" t="s">
        <v>89</v>
      </c>
      <c r="L112" s="14" t="s">
        <v>177</v>
      </c>
      <c r="M112" s="235"/>
      <c r="N112" s="243"/>
    </row>
    <row r="113" spans="1:14" ht="15.6" thickBot="1" x14ac:dyDescent="0.3">
      <c r="A113" s="230"/>
      <c r="B113" s="236"/>
      <c r="C113" s="236"/>
      <c r="D113" s="233"/>
      <c r="E113" s="233"/>
      <c r="F113" s="236"/>
      <c r="G113" s="236"/>
      <c r="H113" s="246"/>
      <c r="I113" s="246"/>
      <c r="J113" s="246"/>
      <c r="K113" s="72" t="s">
        <v>90</v>
      </c>
      <c r="L113" s="73" t="s">
        <v>43</v>
      </c>
      <c r="M113" s="236"/>
      <c r="N113" s="244"/>
    </row>
    <row r="114" spans="1:14" ht="15.6" thickBot="1" x14ac:dyDescent="0.3"/>
    <row r="115" spans="1:14" ht="15" customHeight="1" x14ac:dyDescent="0.25">
      <c r="A115" s="237" t="s">
        <v>937</v>
      </c>
      <c r="B115" s="222"/>
      <c r="C115" s="222" t="s">
        <v>925</v>
      </c>
      <c r="D115" s="219" t="s">
        <v>432</v>
      </c>
      <c r="E115" s="219" t="s">
        <v>10</v>
      </c>
      <c r="F115" s="222" t="s">
        <v>719</v>
      </c>
      <c r="G115" s="222" t="s">
        <v>926</v>
      </c>
      <c r="H115" s="222" t="s">
        <v>994</v>
      </c>
      <c r="I115" s="222" t="s">
        <v>994</v>
      </c>
      <c r="J115" s="219" t="s">
        <v>972</v>
      </c>
      <c r="K115" s="37" t="s">
        <v>75</v>
      </c>
      <c r="L115" s="36" t="s">
        <v>249</v>
      </c>
      <c r="M115" s="222" t="s">
        <v>720</v>
      </c>
      <c r="N115" s="225" t="s">
        <v>731</v>
      </c>
    </row>
    <row r="116" spans="1:14" x14ac:dyDescent="0.25">
      <c r="A116" s="238"/>
      <c r="B116" s="223"/>
      <c r="C116" s="223"/>
      <c r="D116" s="240"/>
      <c r="E116" s="240"/>
      <c r="F116" s="223"/>
      <c r="G116" s="223"/>
      <c r="H116" s="220"/>
      <c r="I116" s="220"/>
      <c r="J116" s="220"/>
      <c r="K116" s="40" t="s">
        <v>76</v>
      </c>
      <c r="L116" s="39" t="s">
        <v>249</v>
      </c>
      <c r="M116" s="223"/>
      <c r="N116" s="226"/>
    </row>
    <row r="117" spans="1:14" x14ac:dyDescent="0.25">
      <c r="A117" s="238"/>
      <c r="B117" s="223"/>
      <c r="C117" s="223"/>
      <c r="D117" s="240"/>
      <c r="E117" s="240"/>
      <c r="F117" s="223"/>
      <c r="G117" s="223"/>
      <c r="H117" s="220"/>
      <c r="I117" s="220"/>
      <c r="J117" s="220"/>
      <c r="K117" s="40" t="s">
        <v>77</v>
      </c>
      <c r="L117" s="39" t="s">
        <v>92</v>
      </c>
      <c r="M117" s="223"/>
      <c r="N117" s="226"/>
    </row>
    <row r="118" spans="1:14" x14ac:dyDescent="0.25">
      <c r="A118" s="238"/>
      <c r="B118" s="223"/>
      <c r="C118" s="223"/>
      <c r="D118" s="240"/>
      <c r="E118" s="240"/>
      <c r="F118" s="223"/>
      <c r="G118" s="223"/>
      <c r="H118" s="220"/>
      <c r="I118" s="220"/>
      <c r="J118" s="220"/>
      <c r="K118" s="40" t="s">
        <v>78</v>
      </c>
      <c r="L118" s="39" t="s">
        <v>93</v>
      </c>
      <c r="M118" s="223"/>
      <c r="N118" s="226"/>
    </row>
    <row r="119" spans="1:14" x14ac:dyDescent="0.25">
      <c r="A119" s="238"/>
      <c r="B119" s="223"/>
      <c r="C119" s="223"/>
      <c r="D119" s="240"/>
      <c r="E119" s="240"/>
      <c r="F119" s="223"/>
      <c r="G119" s="223"/>
      <c r="H119" s="220"/>
      <c r="I119" s="220"/>
      <c r="J119" s="220"/>
      <c r="K119" s="40" t="s">
        <v>79</v>
      </c>
      <c r="L119" s="39" t="s">
        <v>94</v>
      </c>
      <c r="M119" s="223"/>
      <c r="N119" s="226"/>
    </row>
    <row r="120" spans="1:14" x14ac:dyDescent="0.25">
      <c r="A120" s="238"/>
      <c r="B120" s="223"/>
      <c r="C120" s="223"/>
      <c r="D120" s="240"/>
      <c r="E120" s="240"/>
      <c r="F120" s="223"/>
      <c r="G120" s="223"/>
      <c r="H120" s="220"/>
      <c r="I120" s="220"/>
      <c r="J120" s="220"/>
      <c r="K120" s="40" t="s">
        <v>225</v>
      </c>
      <c r="L120" s="39" t="s">
        <v>95</v>
      </c>
      <c r="M120" s="223"/>
      <c r="N120" s="226"/>
    </row>
    <row r="121" spans="1:14" x14ac:dyDescent="0.25">
      <c r="A121" s="238"/>
      <c r="B121" s="223"/>
      <c r="C121" s="223"/>
      <c r="D121" s="240"/>
      <c r="E121" s="240"/>
      <c r="F121" s="223"/>
      <c r="G121" s="223"/>
      <c r="H121" s="220"/>
      <c r="I121" s="220"/>
      <c r="J121" s="220"/>
      <c r="K121" s="40" t="s">
        <v>81</v>
      </c>
      <c r="L121" s="42" t="s">
        <v>96</v>
      </c>
      <c r="M121" s="223"/>
      <c r="N121" s="226"/>
    </row>
    <row r="122" spans="1:14" x14ac:dyDescent="0.25">
      <c r="A122" s="238"/>
      <c r="B122" s="223"/>
      <c r="C122" s="223"/>
      <c r="D122" s="240"/>
      <c r="E122" s="240"/>
      <c r="F122" s="223"/>
      <c r="G122" s="223"/>
      <c r="H122" s="220"/>
      <c r="I122" s="220"/>
      <c r="J122" s="220"/>
      <c r="K122" s="40" t="s">
        <v>82</v>
      </c>
      <c r="L122" s="39">
        <v>1</v>
      </c>
      <c r="M122" s="223"/>
      <c r="N122" s="226"/>
    </row>
    <row r="123" spans="1:14" x14ac:dyDescent="0.25">
      <c r="A123" s="238"/>
      <c r="B123" s="223"/>
      <c r="C123" s="223"/>
      <c r="D123" s="240"/>
      <c r="E123" s="240"/>
      <c r="F123" s="223"/>
      <c r="G123" s="223"/>
      <c r="H123" s="220"/>
      <c r="I123" s="220"/>
      <c r="J123" s="220"/>
      <c r="K123" s="40" t="s">
        <v>83</v>
      </c>
      <c r="L123" s="39" t="s">
        <v>43</v>
      </c>
      <c r="M123" s="223"/>
      <c r="N123" s="226"/>
    </row>
    <row r="124" spans="1:14" x14ac:dyDescent="0.25">
      <c r="A124" s="238"/>
      <c r="B124" s="223"/>
      <c r="C124" s="223"/>
      <c r="D124" s="240"/>
      <c r="E124" s="240"/>
      <c r="F124" s="223"/>
      <c r="G124" s="223"/>
      <c r="H124" s="220"/>
      <c r="I124" s="220"/>
      <c r="J124" s="220"/>
      <c r="K124" s="40" t="s">
        <v>88</v>
      </c>
      <c r="L124" s="39" t="s">
        <v>97</v>
      </c>
      <c r="M124" s="223"/>
      <c r="N124" s="226"/>
    </row>
    <row r="125" spans="1:14" x14ac:dyDescent="0.25">
      <c r="A125" s="238"/>
      <c r="B125" s="223"/>
      <c r="C125" s="223"/>
      <c r="D125" s="240"/>
      <c r="E125" s="240"/>
      <c r="F125" s="223"/>
      <c r="G125" s="223"/>
      <c r="H125" s="220"/>
      <c r="I125" s="220"/>
      <c r="J125" s="220"/>
      <c r="K125" s="40" t="s">
        <v>84</v>
      </c>
      <c r="L125" s="43">
        <v>46032</v>
      </c>
      <c r="M125" s="223"/>
      <c r="N125" s="226"/>
    </row>
    <row r="126" spans="1:14" x14ac:dyDescent="0.25">
      <c r="A126" s="238"/>
      <c r="B126" s="223"/>
      <c r="C126" s="223"/>
      <c r="D126" s="240"/>
      <c r="E126" s="240"/>
      <c r="F126" s="223"/>
      <c r="G126" s="223"/>
      <c r="H126" s="220"/>
      <c r="I126" s="220"/>
      <c r="J126" s="220"/>
      <c r="K126" s="40" t="s">
        <v>85</v>
      </c>
      <c r="L126" s="39" t="s">
        <v>98</v>
      </c>
      <c r="M126" s="223"/>
      <c r="N126" s="226"/>
    </row>
    <row r="127" spans="1:14" x14ac:dyDescent="0.25">
      <c r="A127" s="238"/>
      <c r="B127" s="223"/>
      <c r="C127" s="223"/>
      <c r="D127" s="240"/>
      <c r="E127" s="240"/>
      <c r="F127" s="223"/>
      <c r="G127" s="223"/>
      <c r="H127" s="220"/>
      <c r="I127" s="220"/>
      <c r="J127" s="220"/>
      <c r="K127" s="40" t="s">
        <v>86</v>
      </c>
      <c r="L127" s="39" t="s">
        <v>150</v>
      </c>
      <c r="M127" s="223"/>
      <c r="N127" s="226"/>
    </row>
    <row r="128" spans="1:14" x14ac:dyDescent="0.25">
      <c r="A128" s="238"/>
      <c r="B128" s="223"/>
      <c r="C128" s="223"/>
      <c r="D128" s="240"/>
      <c r="E128" s="240"/>
      <c r="F128" s="223"/>
      <c r="G128" s="223"/>
      <c r="H128" s="220"/>
      <c r="I128" s="220"/>
      <c r="J128" s="220"/>
      <c r="K128" s="40" t="s">
        <v>87</v>
      </c>
      <c r="L128" s="39">
        <v>8691047788</v>
      </c>
      <c r="M128" s="223"/>
      <c r="N128" s="226"/>
    </row>
    <row r="129" spans="1:14" x14ac:dyDescent="0.25">
      <c r="A129" s="238"/>
      <c r="B129" s="223"/>
      <c r="C129" s="223"/>
      <c r="D129" s="240"/>
      <c r="E129" s="240"/>
      <c r="F129" s="223"/>
      <c r="G129" s="223"/>
      <c r="H129" s="220"/>
      <c r="I129" s="220"/>
      <c r="J129" s="220"/>
      <c r="K129" s="40" t="s">
        <v>89</v>
      </c>
      <c r="L129" s="39" t="s">
        <v>100</v>
      </c>
      <c r="M129" s="223"/>
      <c r="N129" s="226"/>
    </row>
    <row r="130" spans="1:14" ht="15.6" thickBot="1" x14ac:dyDescent="0.3">
      <c r="A130" s="239"/>
      <c r="B130" s="224"/>
      <c r="C130" s="224"/>
      <c r="D130" s="241"/>
      <c r="E130" s="241"/>
      <c r="F130" s="224"/>
      <c r="G130" s="224"/>
      <c r="H130" s="221"/>
      <c r="I130" s="221"/>
      <c r="J130" s="221"/>
      <c r="K130" s="40" t="s">
        <v>226</v>
      </c>
      <c r="L130" s="39" t="s">
        <v>43</v>
      </c>
      <c r="M130" s="224"/>
      <c r="N130" s="227"/>
    </row>
    <row r="131" spans="1:14" ht="15.6" thickBot="1" x14ac:dyDescent="0.3"/>
    <row r="132" spans="1:14" ht="15" customHeight="1" thickBot="1" x14ac:dyDescent="0.3">
      <c r="A132" s="228" t="s">
        <v>938</v>
      </c>
      <c r="B132" s="234"/>
      <c r="C132" s="234" t="s">
        <v>728</v>
      </c>
      <c r="D132" s="231" t="s">
        <v>432</v>
      </c>
      <c r="E132" s="231" t="s">
        <v>10</v>
      </c>
      <c r="F132" s="234" t="s">
        <v>928</v>
      </c>
      <c r="G132" s="234" t="s">
        <v>929</v>
      </c>
      <c r="H132" s="247" t="s">
        <v>994</v>
      </c>
      <c r="I132" s="247" t="s">
        <v>994</v>
      </c>
      <c r="J132" s="245" t="s">
        <v>973</v>
      </c>
      <c r="K132" s="37" t="s">
        <v>75</v>
      </c>
      <c r="L132" s="36" t="s">
        <v>128</v>
      </c>
      <c r="M132" s="234" t="s">
        <v>720</v>
      </c>
      <c r="N132" s="242" t="s">
        <v>731</v>
      </c>
    </row>
    <row r="133" spans="1:14" x14ac:dyDescent="0.25">
      <c r="A133" s="229"/>
      <c r="B133" s="235"/>
      <c r="C133" s="235"/>
      <c r="D133" s="232"/>
      <c r="E133" s="232"/>
      <c r="F133" s="235"/>
      <c r="G133" s="235"/>
      <c r="H133" s="220"/>
      <c r="I133" s="220"/>
      <c r="J133" s="220"/>
      <c r="K133" s="40" t="s">
        <v>76</v>
      </c>
      <c r="L133" s="39" t="s">
        <v>128</v>
      </c>
      <c r="M133" s="235"/>
      <c r="N133" s="243"/>
    </row>
    <row r="134" spans="1:14" x14ac:dyDescent="0.25">
      <c r="A134" s="229"/>
      <c r="B134" s="235"/>
      <c r="C134" s="235"/>
      <c r="D134" s="232"/>
      <c r="E134" s="232"/>
      <c r="F134" s="235"/>
      <c r="G134" s="235"/>
      <c r="H134" s="220"/>
      <c r="I134" s="220"/>
      <c r="J134" s="220"/>
      <c r="K134" s="40" t="s">
        <v>77</v>
      </c>
      <c r="L134" s="39" t="s">
        <v>152</v>
      </c>
      <c r="M134" s="235"/>
      <c r="N134" s="243"/>
    </row>
    <row r="135" spans="1:14" x14ac:dyDescent="0.25">
      <c r="A135" s="229"/>
      <c r="B135" s="235"/>
      <c r="C135" s="235"/>
      <c r="D135" s="232"/>
      <c r="E135" s="232"/>
      <c r="F135" s="235"/>
      <c r="G135" s="235"/>
      <c r="H135" s="220"/>
      <c r="I135" s="220"/>
      <c r="J135" s="220"/>
      <c r="K135" s="40" t="s">
        <v>78</v>
      </c>
      <c r="L135" s="39"/>
      <c r="M135" s="235"/>
      <c r="N135" s="243"/>
    </row>
    <row r="136" spans="1:14" x14ac:dyDescent="0.25">
      <c r="A136" s="229"/>
      <c r="B136" s="235"/>
      <c r="C136" s="235"/>
      <c r="D136" s="232"/>
      <c r="E136" s="232"/>
      <c r="F136" s="235"/>
      <c r="G136" s="235"/>
      <c r="H136" s="220"/>
      <c r="I136" s="220"/>
      <c r="J136" s="220"/>
      <c r="K136" s="40" t="s">
        <v>79</v>
      </c>
      <c r="L136" s="39" t="s">
        <v>94</v>
      </c>
      <c r="M136" s="235"/>
      <c r="N136" s="243"/>
    </row>
    <row r="137" spans="1:14" x14ac:dyDescent="0.25">
      <c r="A137" s="229"/>
      <c r="B137" s="235"/>
      <c r="C137" s="235"/>
      <c r="D137" s="232"/>
      <c r="E137" s="232"/>
      <c r="F137" s="235"/>
      <c r="G137" s="235"/>
      <c r="H137" s="220"/>
      <c r="I137" s="220"/>
      <c r="J137" s="220"/>
      <c r="K137" s="40" t="s">
        <v>225</v>
      </c>
      <c r="L137" s="39" t="s">
        <v>95</v>
      </c>
      <c r="M137" s="235"/>
      <c r="N137" s="243"/>
    </row>
    <row r="138" spans="1:14" x14ac:dyDescent="0.25">
      <c r="A138" s="229"/>
      <c r="B138" s="235"/>
      <c r="C138" s="235"/>
      <c r="D138" s="232"/>
      <c r="E138" s="232"/>
      <c r="F138" s="235"/>
      <c r="G138" s="235"/>
      <c r="H138" s="220"/>
      <c r="I138" s="220"/>
      <c r="J138" s="220"/>
      <c r="K138" s="40" t="s">
        <v>81</v>
      </c>
      <c r="L138" s="42" t="s">
        <v>96</v>
      </c>
      <c r="M138" s="235"/>
      <c r="N138" s="243"/>
    </row>
    <row r="139" spans="1:14" x14ac:dyDescent="0.25">
      <c r="A139" s="229"/>
      <c r="B139" s="235"/>
      <c r="C139" s="235"/>
      <c r="D139" s="232"/>
      <c r="E139" s="232"/>
      <c r="F139" s="235"/>
      <c r="G139" s="235"/>
      <c r="H139" s="220"/>
      <c r="I139" s="220"/>
      <c r="J139" s="220"/>
      <c r="K139" s="40" t="s">
        <v>82</v>
      </c>
      <c r="L139" s="39">
        <v>1</v>
      </c>
      <c r="M139" s="235"/>
      <c r="N139" s="243"/>
    </row>
    <row r="140" spans="1:14" x14ac:dyDescent="0.25">
      <c r="A140" s="229"/>
      <c r="B140" s="235"/>
      <c r="C140" s="235"/>
      <c r="D140" s="232"/>
      <c r="E140" s="232"/>
      <c r="F140" s="235"/>
      <c r="G140" s="235"/>
      <c r="H140" s="220"/>
      <c r="I140" s="220"/>
      <c r="J140" s="220"/>
      <c r="K140" s="40" t="s">
        <v>83</v>
      </c>
      <c r="L140" s="39" t="s">
        <v>43</v>
      </c>
      <c r="M140" s="235"/>
      <c r="N140" s="243"/>
    </row>
    <row r="141" spans="1:14" x14ac:dyDescent="0.25">
      <c r="A141" s="229"/>
      <c r="B141" s="235"/>
      <c r="C141" s="235"/>
      <c r="D141" s="232"/>
      <c r="E141" s="232"/>
      <c r="F141" s="235"/>
      <c r="G141" s="235"/>
      <c r="H141" s="220"/>
      <c r="I141" s="220"/>
      <c r="J141" s="220"/>
      <c r="K141" s="40" t="s">
        <v>88</v>
      </c>
      <c r="L141" s="39" t="s">
        <v>97</v>
      </c>
      <c r="M141" s="235"/>
      <c r="N141" s="243"/>
    </row>
    <row r="142" spans="1:14" x14ac:dyDescent="0.25">
      <c r="A142" s="229"/>
      <c r="B142" s="235"/>
      <c r="C142" s="235"/>
      <c r="D142" s="232"/>
      <c r="E142" s="232"/>
      <c r="F142" s="235"/>
      <c r="G142" s="235"/>
      <c r="H142" s="220"/>
      <c r="I142" s="220"/>
      <c r="J142" s="220"/>
      <c r="K142" s="40" t="s">
        <v>84</v>
      </c>
      <c r="L142" s="43">
        <v>46032</v>
      </c>
      <c r="M142" s="235"/>
      <c r="N142" s="243"/>
    </row>
    <row r="143" spans="1:14" x14ac:dyDescent="0.25">
      <c r="A143" s="229"/>
      <c r="B143" s="235"/>
      <c r="C143" s="235"/>
      <c r="D143" s="232"/>
      <c r="E143" s="232"/>
      <c r="F143" s="235"/>
      <c r="G143" s="235"/>
      <c r="H143" s="220"/>
      <c r="I143" s="220"/>
      <c r="J143" s="220"/>
      <c r="K143" s="40" t="s">
        <v>85</v>
      </c>
      <c r="L143" s="39" t="s">
        <v>98</v>
      </c>
      <c r="M143" s="235"/>
      <c r="N143" s="243"/>
    </row>
    <row r="144" spans="1:14" x14ac:dyDescent="0.25">
      <c r="A144" s="229"/>
      <c r="B144" s="235"/>
      <c r="C144" s="235"/>
      <c r="D144" s="232"/>
      <c r="E144" s="232"/>
      <c r="F144" s="235"/>
      <c r="G144" s="235"/>
      <c r="H144" s="220"/>
      <c r="I144" s="220"/>
      <c r="J144" s="220"/>
      <c r="K144" s="40" t="s">
        <v>86</v>
      </c>
      <c r="L144" s="39" t="s">
        <v>99</v>
      </c>
      <c r="M144" s="235"/>
      <c r="N144" s="243"/>
    </row>
    <row r="145" spans="1:14" x14ac:dyDescent="0.25">
      <c r="A145" s="229"/>
      <c r="B145" s="235"/>
      <c r="C145" s="235"/>
      <c r="D145" s="232"/>
      <c r="E145" s="232"/>
      <c r="F145" s="235"/>
      <c r="G145" s="235"/>
      <c r="H145" s="220"/>
      <c r="I145" s="220"/>
      <c r="J145" s="220"/>
      <c r="K145" s="40" t="s">
        <v>87</v>
      </c>
      <c r="L145" s="39" t="s">
        <v>184</v>
      </c>
      <c r="M145" s="235"/>
      <c r="N145" s="243"/>
    </row>
    <row r="146" spans="1:14" x14ac:dyDescent="0.25">
      <c r="A146" s="229"/>
      <c r="B146" s="235"/>
      <c r="C146" s="235"/>
      <c r="D146" s="232"/>
      <c r="E146" s="232"/>
      <c r="F146" s="235"/>
      <c r="G146" s="235"/>
      <c r="H146" s="220"/>
      <c r="I146" s="220"/>
      <c r="J146" s="220"/>
      <c r="K146" s="40" t="s">
        <v>89</v>
      </c>
      <c r="L146" s="39" t="s">
        <v>100</v>
      </c>
      <c r="M146" s="235"/>
      <c r="N146" s="243"/>
    </row>
    <row r="147" spans="1:14" ht="15.6" thickBot="1" x14ac:dyDescent="0.3">
      <c r="A147" s="230"/>
      <c r="B147" s="236"/>
      <c r="C147" s="236"/>
      <c r="D147" s="233"/>
      <c r="E147" s="233"/>
      <c r="F147" s="236"/>
      <c r="G147" s="236"/>
      <c r="H147" s="246"/>
      <c r="I147" s="246"/>
      <c r="J147" s="246"/>
      <c r="K147" s="40" t="s">
        <v>226</v>
      </c>
      <c r="L147" s="39" t="s">
        <v>43</v>
      </c>
      <c r="M147" s="236"/>
      <c r="N147" s="244"/>
    </row>
    <row r="148" spans="1:14" ht="15.6" thickBot="1" x14ac:dyDescent="0.3"/>
    <row r="149" spans="1:14" ht="15" customHeight="1" thickBot="1" x14ac:dyDescent="0.3">
      <c r="A149" s="228" t="s">
        <v>939</v>
      </c>
      <c r="B149" s="256"/>
      <c r="C149" s="256" t="s">
        <v>931</v>
      </c>
      <c r="D149" s="231" t="s">
        <v>432</v>
      </c>
      <c r="E149" s="231" t="s">
        <v>10</v>
      </c>
      <c r="F149" s="234" t="s">
        <v>719</v>
      </c>
      <c r="G149" s="234" t="s">
        <v>929</v>
      </c>
      <c r="H149" s="247" t="s">
        <v>995</v>
      </c>
      <c r="I149" s="247" t="s">
        <v>995</v>
      </c>
      <c r="J149" s="245" t="s">
        <v>978</v>
      </c>
      <c r="K149" s="4" t="s">
        <v>75</v>
      </c>
      <c r="L149" s="14" t="s">
        <v>128</v>
      </c>
      <c r="M149" s="234" t="s">
        <v>932</v>
      </c>
      <c r="N149" s="242" t="s">
        <v>731</v>
      </c>
    </row>
    <row r="150" spans="1:14" x14ac:dyDescent="0.25">
      <c r="A150" s="229"/>
      <c r="B150" s="257"/>
      <c r="C150" s="257"/>
      <c r="D150" s="232"/>
      <c r="E150" s="232"/>
      <c r="F150" s="235"/>
      <c r="G150" s="235"/>
      <c r="H150" s="220"/>
      <c r="I150" s="220"/>
      <c r="J150" s="220"/>
      <c r="K150" s="4" t="s">
        <v>76</v>
      </c>
      <c r="L150" s="14" t="str">
        <f>L149</f>
        <v>Money Maker EUR</v>
      </c>
      <c r="M150" s="235"/>
      <c r="N150" s="243"/>
    </row>
    <row r="151" spans="1:14" x14ac:dyDescent="0.25">
      <c r="A151" s="229"/>
      <c r="B151" s="257"/>
      <c r="C151" s="257"/>
      <c r="D151" s="232"/>
      <c r="E151" s="232"/>
      <c r="F151" s="235"/>
      <c r="G151" s="235"/>
      <c r="H151" s="220"/>
      <c r="I151" s="220"/>
      <c r="J151" s="220"/>
      <c r="K151" s="4" t="s">
        <v>77</v>
      </c>
      <c r="L151" s="14" t="s">
        <v>180</v>
      </c>
      <c r="M151" s="235"/>
      <c r="N151" s="243"/>
    </row>
    <row r="152" spans="1:14" x14ac:dyDescent="0.25">
      <c r="A152" s="229"/>
      <c r="B152" s="257"/>
      <c r="C152" s="257"/>
      <c r="D152" s="232"/>
      <c r="E152" s="232"/>
      <c r="F152" s="235"/>
      <c r="G152" s="235"/>
      <c r="H152" s="220"/>
      <c r="I152" s="220"/>
      <c r="J152" s="220"/>
      <c r="K152" s="4" t="s">
        <v>78</v>
      </c>
      <c r="L152" s="14" t="s">
        <v>157</v>
      </c>
      <c r="M152" s="235"/>
      <c r="N152" s="243"/>
    </row>
    <row r="153" spans="1:14" x14ac:dyDescent="0.25">
      <c r="A153" s="229"/>
      <c r="B153" s="257"/>
      <c r="C153" s="257"/>
      <c r="D153" s="232"/>
      <c r="E153" s="232"/>
      <c r="F153" s="235"/>
      <c r="G153" s="235"/>
      <c r="H153" s="220"/>
      <c r="I153" s="220"/>
      <c r="J153" s="220"/>
      <c r="K153" s="4" t="s">
        <v>79</v>
      </c>
      <c r="L153" s="14" t="s">
        <v>94</v>
      </c>
      <c r="M153" s="235"/>
      <c r="N153" s="243"/>
    </row>
    <row r="154" spans="1:14" x14ac:dyDescent="0.25">
      <c r="A154" s="229"/>
      <c r="B154" s="257"/>
      <c r="C154" s="257"/>
      <c r="D154" s="232"/>
      <c r="E154" s="232"/>
      <c r="F154" s="235"/>
      <c r="G154" s="235"/>
      <c r="H154" s="220"/>
      <c r="I154" s="220"/>
      <c r="J154" s="220"/>
      <c r="K154" s="4" t="s">
        <v>225</v>
      </c>
      <c r="L154" s="14" t="s">
        <v>95</v>
      </c>
      <c r="M154" s="235"/>
      <c r="N154" s="243"/>
    </row>
    <row r="155" spans="1:14" x14ac:dyDescent="0.25">
      <c r="A155" s="229"/>
      <c r="B155" s="257"/>
      <c r="C155" s="257"/>
      <c r="D155" s="232"/>
      <c r="E155" s="232"/>
      <c r="F155" s="235"/>
      <c r="G155" s="235"/>
      <c r="H155" s="220"/>
      <c r="I155" s="220"/>
      <c r="J155" s="220"/>
      <c r="K155" s="4" t="s">
        <v>81</v>
      </c>
      <c r="L155" s="33" t="s">
        <v>166</v>
      </c>
      <c r="M155" s="235"/>
      <c r="N155" s="243"/>
    </row>
    <row r="156" spans="1:14" x14ac:dyDescent="0.25">
      <c r="A156" s="229"/>
      <c r="B156" s="257"/>
      <c r="C156" s="257"/>
      <c r="D156" s="232"/>
      <c r="E156" s="232"/>
      <c r="F156" s="235"/>
      <c r="G156" s="235"/>
      <c r="H156" s="220"/>
      <c r="I156" s="220"/>
      <c r="J156" s="220"/>
      <c r="K156" s="4" t="s">
        <v>82</v>
      </c>
      <c r="L156" s="14" t="s">
        <v>181</v>
      </c>
      <c r="M156" s="235"/>
      <c r="N156" s="243"/>
    </row>
    <row r="157" spans="1:14" x14ac:dyDescent="0.25">
      <c r="A157" s="229"/>
      <c r="B157" s="257"/>
      <c r="C157" s="257"/>
      <c r="D157" s="232"/>
      <c r="E157" s="232"/>
      <c r="F157" s="235"/>
      <c r="G157" s="235"/>
      <c r="H157" s="220"/>
      <c r="I157" s="220"/>
      <c r="J157" s="220"/>
      <c r="K157" s="4" t="s">
        <v>83</v>
      </c>
      <c r="L157" s="19" t="s">
        <v>43</v>
      </c>
      <c r="M157" s="235"/>
      <c r="N157" s="243"/>
    </row>
    <row r="158" spans="1:14" x14ac:dyDescent="0.25">
      <c r="A158" s="229"/>
      <c r="B158" s="257"/>
      <c r="C158" s="257"/>
      <c r="D158" s="232"/>
      <c r="E158" s="232"/>
      <c r="F158" s="235"/>
      <c r="G158" s="235"/>
      <c r="H158" s="220"/>
      <c r="I158" s="220"/>
      <c r="J158" s="220"/>
      <c r="K158" s="4" t="s">
        <v>88</v>
      </c>
      <c r="L158" s="14" t="s">
        <v>174</v>
      </c>
      <c r="M158" s="235"/>
      <c r="N158" s="243"/>
    </row>
    <row r="159" spans="1:14" x14ac:dyDescent="0.25">
      <c r="A159" s="229"/>
      <c r="B159" s="257"/>
      <c r="C159" s="257"/>
      <c r="D159" s="232"/>
      <c r="E159" s="232"/>
      <c r="F159" s="235"/>
      <c r="G159" s="235"/>
      <c r="H159" s="220"/>
      <c r="I159" s="220"/>
      <c r="J159" s="220"/>
      <c r="K159" s="4" t="s">
        <v>84</v>
      </c>
      <c r="L159" s="35">
        <v>46032</v>
      </c>
      <c r="M159" s="235"/>
      <c r="N159" s="243"/>
    </row>
    <row r="160" spans="1:14" x14ac:dyDescent="0.25">
      <c r="A160" s="229"/>
      <c r="B160" s="257"/>
      <c r="C160" s="257"/>
      <c r="D160" s="232"/>
      <c r="E160" s="232"/>
      <c r="F160" s="235"/>
      <c r="G160" s="235"/>
      <c r="H160" s="220"/>
      <c r="I160" s="220"/>
      <c r="J160" s="220"/>
      <c r="K160" s="4" t="s">
        <v>85</v>
      </c>
      <c r="L160" s="14" t="str">
        <f>IF(L149="Donald Easter","Donal Easter LLC",IF(L149="Aspire Intl  ","Aspire International",IF(L149="Money Maker EUR","MoneyMaker Ltd",IF(L149="TanishQ Entrp","TanishQ Enterpresis","NA"))))</f>
        <v>MoneyMaker Ltd</v>
      </c>
      <c r="M160" s="235"/>
      <c r="N160" s="243"/>
    </row>
    <row r="161" spans="1:14" x14ac:dyDescent="0.25">
      <c r="A161" s="229"/>
      <c r="B161" s="257"/>
      <c r="C161" s="257"/>
      <c r="D161" s="232"/>
      <c r="E161" s="232"/>
      <c r="F161" s="235"/>
      <c r="G161" s="235"/>
      <c r="H161" s="220"/>
      <c r="I161" s="220"/>
      <c r="J161" s="220"/>
      <c r="K161" s="4" t="s">
        <v>86</v>
      </c>
      <c r="L161" s="14" t="s">
        <v>99</v>
      </c>
      <c r="M161" s="235"/>
      <c r="N161" s="243"/>
    </row>
    <row r="162" spans="1:14" x14ac:dyDescent="0.25">
      <c r="A162" s="229"/>
      <c r="B162" s="257"/>
      <c r="C162" s="257"/>
      <c r="D162" s="232"/>
      <c r="E162" s="232"/>
      <c r="F162" s="235"/>
      <c r="G162" s="235"/>
      <c r="H162" s="220"/>
      <c r="I162" s="220"/>
      <c r="J162" s="220"/>
      <c r="K162" s="4" t="s">
        <v>87</v>
      </c>
      <c r="L162" s="14">
        <v>8691047788</v>
      </c>
      <c r="M162" s="235"/>
      <c r="N162" s="243"/>
    </row>
    <row r="163" spans="1:14" x14ac:dyDescent="0.25">
      <c r="A163" s="229"/>
      <c r="B163" s="257"/>
      <c r="C163" s="257"/>
      <c r="D163" s="232"/>
      <c r="E163" s="232"/>
      <c r="F163" s="235"/>
      <c r="G163" s="235"/>
      <c r="H163" s="220"/>
      <c r="I163" s="220"/>
      <c r="J163" s="220"/>
      <c r="K163" s="4" t="s">
        <v>89</v>
      </c>
      <c r="L163" s="14" t="s">
        <v>121</v>
      </c>
      <c r="M163" s="235"/>
      <c r="N163" s="243"/>
    </row>
    <row r="164" spans="1:14" ht="15.6" thickBot="1" x14ac:dyDescent="0.3">
      <c r="A164" s="230"/>
      <c r="B164" s="258"/>
      <c r="C164" s="258"/>
      <c r="D164" s="233"/>
      <c r="E164" s="233"/>
      <c r="F164" s="236"/>
      <c r="G164" s="236"/>
      <c r="H164" s="246"/>
      <c r="I164" s="246"/>
      <c r="J164" s="246"/>
      <c r="K164" s="4" t="s">
        <v>226</v>
      </c>
      <c r="L164" s="19" t="s">
        <v>43</v>
      </c>
      <c r="M164" s="236"/>
      <c r="N164" s="244"/>
    </row>
    <row r="165" spans="1:14" ht="15.6" thickBot="1" x14ac:dyDescent="0.3"/>
    <row r="166" spans="1:14" ht="15" customHeight="1" thickBot="1" x14ac:dyDescent="0.3">
      <c r="A166" s="228" t="s">
        <v>941</v>
      </c>
      <c r="B166" s="234"/>
      <c r="C166" s="234" t="s">
        <v>728</v>
      </c>
      <c r="D166" s="231" t="s">
        <v>432</v>
      </c>
      <c r="E166" s="231" t="s">
        <v>10</v>
      </c>
      <c r="F166" s="234" t="s">
        <v>928</v>
      </c>
      <c r="G166" s="234" t="s">
        <v>929</v>
      </c>
      <c r="H166" s="247" t="s">
        <v>995</v>
      </c>
      <c r="I166" s="247" t="s">
        <v>995</v>
      </c>
      <c r="J166" s="245" t="s">
        <v>975</v>
      </c>
      <c r="K166" s="4" t="s">
        <v>75</v>
      </c>
      <c r="L166" s="14" t="s">
        <v>139</v>
      </c>
      <c r="M166" s="234" t="s">
        <v>720</v>
      </c>
      <c r="N166" s="242" t="s">
        <v>731</v>
      </c>
    </row>
    <row r="167" spans="1:14" x14ac:dyDescent="0.25">
      <c r="A167" s="229"/>
      <c r="B167" s="235"/>
      <c r="C167" s="235"/>
      <c r="D167" s="232"/>
      <c r="E167" s="232"/>
      <c r="F167" s="235"/>
      <c r="G167" s="235"/>
      <c r="H167" s="220"/>
      <c r="I167" s="220"/>
      <c r="J167" s="220"/>
      <c r="K167" s="4" t="s">
        <v>76</v>
      </c>
      <c r="L167" s="14" t="str">
        <f>L166</f>
        <v>TanishQ Entrp</v>
      </c>
      <c r="M167" s="235"/>
      <c r="N167" s="243"/>
    </row>
    <row r="168" spans="1:14" x14ac:dyDescent="0.25">
      <c r="A168" s="229"/>
      <c r="B168" s="235"/>
      <c r="C168" s="235"/>
      <c r="D168" s="232"/>
      <c r="E168" s="232"/>
      <c r="F168" s="235"/>
      <c r="G168" s="235"/>
      <c r="H168" s="220"/>
      <c r="I168" s="220"/>
      <c r="J168" s="220"/>
      <c r="K168" s="4" t="s">
        <v>77</v>
      </c>
      <c r="L168" s="14" t="s">
        <v>185</v>
      </c>
      <c r="M168" s="235"/>
      <c r="N168" s="243"/>
    </row>
    <row r="169" spans="1:14" x14ac:dyDescent="0.25">
      <c r="A169" s="229"/>
      <c r="B169" s="235"/>
      <c r="C169" s="235"/>
      <c r="D169" s="232"/>
      <c r="E169" s="232"/>
      <c r="F169" s="235"/>
      <c r="G169" s="235"/>
      <c r="H169" s="220"/>
      <c r="I169" s="220"/>
      <c r="J169" s="220"/>
      <c r="K169" s="4" t="s">
        <v>78</v>
      </c>
      <c r="L169" s="14" t="s">
        <v>157</v>
      </c>
      <c r="M169" s="235"/>
      <c r="N169" s="243"/>
    </row>
    <row r="170" spans="1:14" x14ac:dyDescent="0.25">
      <c r="A170" s="229"/>
      <c r="B170" s="235"/>
      <c r="C170" s="235"/>
      <c r="D170" s="232"/>
      <c r="E170" s="232"/>
      <c r="F170" s="235"/>
      <c r="G170" s="235"/>
      <c r="H170" s="220"/>
      <c r="I170" s="220"/>
      <c r="J170" s="220"/>
      <c r="K170" s="4" t="s">
        <v>79</v>
      </c>
      <c r="L170" s="14" t="s">
        <v>94</v>
      </c>
      <c r="M170" s="235"/>
      <c r="N170" s="243"/>
    </row>
    <row r="171" spans="1:14" x14ac:dyDescent="0.25">
      <c r="A171" s="229"/>
      <c r="B171" s="235"/>
      <c r="C171" s="235"/>
      <c r="D171" s="232"/>
      <c r="E171" s="232"/>
      <c r="F171" s="235"/>
      <c r="G171" s="235"/>
      <c r="H171" s="220"/>
      <c r="I171" s="220"/>
      <c r="J171" s="220"/>
      <c r="K171" s="4" t="s">
        <v>225</v>
      </c>
      <c r="L171" s="14" t="s">
        <v>95</v>
      </c>
      <c r="M171" s="235"/>
      <c r="N171" s="243"/>
    </row>
    <row r="172" spans="1:14" x14ac:dyDescent="0.25">
      <c r="A172" s="229"/>
      <c r="B172" s="235"/>
      <c r="C172" s="235"/>
      <c r="D172" s="232"/>
      <c r="E172" s="232"/>
      <c r="F172" s="235"/>
      <c r="G172" s="235"/>
      <c r="H172" s="220"/>
      <c r="I172" s="220"/>
      <c r="J172" s="220"/>
      <c r="K172" s="4" t="s">
        <v>81</v>
      </c>
      <c r="L172" s="33" t="s">
        <v>165</v>
      </c>
      <c r="M172" s="235"/>
      <c r="N172" s="243"/>
    </row>
    <row r="173" spans="1:14" x14ac:dyDescent="0.25">
      <c r="A173" s="229"/>
      <c r="B173" s="235"/>
      <c r="C173" s="235"/>
      <c r="D173" s="232"/>
      <c r="E173" s="232"/>
      <c r="F173" s="235"/>
      <c r="G173" s="235"/>
      <c r="H173" s="220"/>
      <c r="I173" s="220"/>
      <c r="J173" s="220"/>
      <c r="K173" s="4" t="s">
        <v>82</v>
      </c>
      <c r="L173" s="14">
        <v>2</v>
      </c>
      <c r="M173" s="235"/>
      <c r="N173" s="243"/>
    </row>
    <row r="174" spans="1:14" x14ac:dyDescent="0.25">
      <c r="A174" s="229"/>
      <c r="B174" s="235"/>
      <c r="C174" s="235"/>
      <c r="D174" s="232"/>
      <c r="E174" s="232"/>
      <c r="F174" s="235"/>
      <c r="G174" s="235"/>
      <c r="H174" s="220"/>
      <c r="I174" s="220"/>
      <c r="J174" s="220"/>
      <c r="K174" s="4" t="s">
        <v>186</v>
      </c>
      <c r="L174" s="14" t="s">
        <v>187</v>
      </c>
      <c r="M174" s="235"/>
      <c r="N174" s="243"/>
    </row>
    <row r="175" spans="1:14" x14ac:dyDescent="0.25">
      <c r="A175" s="229"/>
      <c r="B175" s="235"/>
      <c r="C175" s="235"/>
      <c r="D175" s="232"/>
      <c r="E175" s="232"/>
      <c r="F175" s="235"/>
      <c r="G175" s="235"/>
      <c r="H175" s="220"/>
      <c r="I175" s="220"/>
      <c r="J175" s="220"/>
      <c r="K175" s="4" t="s">
        <v>83</v>
      </c>
      <c r="L175" s="19" t="s">
        <v>43</v>
      </c>
      <c r="M175" s="235"/>
      <c r="N175" s="243"/>
    </row>
    <row r="176" spans="1:14" x14ac:dyDescent="0.25">
      <c r="A176" s="229"/>
      <c r="B176" s="235"/>
      <c r="C176" s="235"/>
      <c r="D176" s="232"/>
      <c r="E176" s="232"/>
      <c r="F176" s="235"/>
      <c r="G176" s="235"/>
      <c r="H176" s="220"/>
      <c r="I176" s="220"/>
      <c r="J176" s="220"/>
      <c r="K176" s="4" t="s">
        <v>88</v>
      </c>
      <c r="L176" s="14" t="s">
        <v>97</v>
      </c>
      <c r="M176" s="235"/>
      <c r="N176" s="243"/>
    </row>
    <row r="177" spans="1:14" x14ac:dyDescent="0.25">
      <c r="A177" s="229"/>
      <c r="B177" s="235"/>
      <c r="C177" s="235"/>
      <c r="D177" s="232"/>
      <c r="E177" s="232"/>
      <c r="F177" s="235"/>
      <c r="G177" s="235"/>
      <c r="H177" s="220"/>
      <c r="I177" s="220"/>
      <c r="J177" s="220"/>
      <c r="K177" s="4" t="s">
        <v>84</v>
      </c>
      <c r="L177" s="35">
        <v>46032</v>
      </c>
      <c r="M177" s="235"/>
      <c r="N177" s="243"/>
    </row>
    <row r="178" spans="1:14" x14ac:dyDescent="0.25">
      <c r="A178" s="229"/>
      <c r="B178" s="235"/>
      <c r="C178" s="235"/>
      <c r="D178" s="232"/>
      <c r="E178" s="232"/>
      <c r="F178" s="235"/>
      <c r="G178" s="235"/>
      <c r="H178" s="220"/>
      <c r="I178" s="220"/>
      <c r="J178" s="220"/>
      <c r="K178" s="4" t="s">
        <v>85</v>
      </c>
      <c r="L178" s="14" t="str">
        <f>IF(L166="Donald Easter","Donal Easter LLC",IF(L166="Aspire Intl  ","Aspire International",IF(L166="Money Maker EUR","MoneyMaker Ltd",IF(L166="TanishQ Entrp","TanishQ Enterpresis","NA"))))</f>
        <v>TanishQ Enterpresis</v>
      </c>
      <c r="M178" s="235"/>
      <c r="N178" s="243"/>
    </row>
    <row r="179" spans="1:14" x14ac:dyDescent="0.25">
      <c r="A179" s="229"/>
      <c r="B179" s="235"/>
      <c r="C179" s="235"/>
      <c r="D179" s="232"/>
      <c r="E179" s="232"/>
      <c r="F179" s="235"/>
      <c r="G179" s="235"/>
      <c r="H179" s="220"/>
      <c r="I179" s="220"/>
      <c r="J179" s="220"/>
      <c r="K179" s="4" t="s">
        <v>86</v>
      </c>
      <c r="L179" s="14" t="s">
        <v>190</v>
      </c>
      <c r="M179" s="235"/>
      <c r="N179" s="243"/>
    </row>
    <row r="180" spans="1:14" x14ac:dyDescent="0.25">
      <c r="A180" s="229"/>
      <c r="B180" s="235"/>
      <c r="C180" s="235"/>
      <c r="D180" s="232"/>
      <c r="E180" s="232"/>
      <c r="F180" s="235"/>
      <c r="G180" s="235"/>
      <c r="H180" s="220"/>
      <c r="I180" s="220"/>
      <c r="J180" s="220"/>
      <c r="K180" s="4" t="s">
        <v>87</v>
      </c>
      <c r="L180" s="14">
        <v>8691047788</v>
      </c>
      <c r="M180" s="235"/>
      <c r="N180" s="243"/>
    </row>
    <row r="181" spans="1:14" x14ac:dyDescent="0.25">
      <c r="A181" s="229"/>
      <c r="B181" s="235"/>
      <c r="C181" s="235"/>
      <c r="D181" s="232"/>
      <c r="E181" s="232"/>
      <c r="F181" s="235"/>
      <c r="G181" s="235"/>
      <c r="H181" s="220"/>
      <c r="I181" s="220"/>
      <c r="J181" s="220"/>
      <c r="K181" s="4" t="s">
        <v>89</v>
      </c>
      <c r="L181" s="14" t="s">
        <v>178</v>
      </c>
      <c r="M181" s="235"/>
      <c r="N181" s="243"/>
    </row>
    <row r="182" spans="1:14" ht="15.6" thickBot="1" x14ac:dyDescent="0.3">
      <c r="A182" s="230"/>
      <c r="B182" s="236"/>
      <c r="C182" s="236"/>
      <c r="D182" s="233"/>
      <c r="E182" s="233"/>
      <c r="F182" s="236"/>
      <c r="G182" s="236"/>
      <c r="H182" s="246"/>
      <c r="I182" s="246"/>
      <c r="J182" s="246"/>
      <c r="K182" s="4" t="s">
        <v>226</v>
      </c>
      <c r="L182" s="19" t="s">
        <v>43</v>
      </c>
      <c r="M182" s="236"/>
      <c r="N182" s="244"/>
    </row>
    <row r="183" spans="1:14" ht="15.6" thickBot="1" x14ac:dyDescent="0.3"/>
    <row r="184" spans="1:14" ht="15" customHeight="1" thickBot="1" x14ac:dyDescent="0.3">
      <c r="A184" s="228" t="s">
        <v>942</v>
      </c>
      <c r="B184" s="234"/>
      <c r="C184" s="234" t="s">
        <v>728</v>
      </c>
      <c r="D184" s="231" t="s">
        <v>432</v>
      </c>
      <c r="E184" s="231" t="s">
        <v>9</v>
      </c>
      <c r="F184" s="234" t="s">
        <v>928</v>
      </c>
      <c r="G184" s="234" t="s">
        <v>929</v>
      </c>
      <c r="H184" s="247" t="s">
        <v>995</v>
      </c>
      <c r="I184" s="247" t="s">
        <v>995</v>
      </c>
      <c r="J184" s="245" t="s">
        <v>979</v>
      </c>
      <c r="K184" s="69" t="s">
        <v>75</v>
      </c>
      <c r="L184" s="68" t="s">
        <v>153</v>
      </c>
      <c r="M184" s="234" t="s">
        <v>720</v>
      </c>
      <c r="N184" s="242" t="s">
        <v>731</v>
      </c>
    </row>
    <row r="185" spans="1:14" x14ac:dyDescent="0.25">
      <c r="A185" s="229"/>
      <c r="B185" s="235"/>
      <c r="C185" s="235"/>
      <c r="D185" s="232"/>
      <c r="E185" s="232"/>
      <c r="F185" s="235"/>
      <c r="G185" s="235"/>
      <c r="H185" s="220"/>
      <c r="I185" s="220"/>
      <c r="J185" s="220"/>
      <c r="K185" s="4" t="s">
        <v>76</v>
      </c>
      <c r="L185" s="14" t="str">
        <f>L184</f>
        <v>Donald Easter</v>
      </c>
      <c r="M185" s="235"/>
      <c r="N185" s="243"/>
    </row>
    <row r="186" spans="1:14" x14ac:dyDescent="0.25">
      <c r="A186" s="229"/>
      <c r="B186" s="235"/>
      <c r="C186" s="235"/>
      <c r="D186" s="232"/>
      <c r="E186" s="232"/>
      <c r="F186" s="235"/>
      <c r="G186" s="235"/>
      <c r="H186" s="220"/>
      <c r="I186" s="220"/>
      <c r="J186" s="220"/>
      <c r="K186" s="4" t="s">
        <v>77</v>
      </c>
      <c r="L186" s="14" t="s">
        <v>180</v>
      </c>
      <c r="M186" s="235"/>
      <c r="N186" s="243"/>
    </row>
    <row r="187" spans="1:14" x14ac:dyDescent="0.25">
      <c r="A187" s="229"/>
      <c r="B187" s="235"/>
      <c r="C187" s="235"/>
      <c r="D187" s="232"/>
      <c r="E187" s="232"/>
      <c r="F187" s="235"/>
      <c r="G187" s="235"/>
      <c r="H187" s="220"/>
      <c r="I187" s="220"/>
      <c r="J187" s="220"/>
      <c r="K187" s="4" t="s">
        <v>78</v>
      </c>
      <c r="L187" s="14" t="s">
        <v>158</v>
      </c>
      <c r="M187" s="235"/>
      <c r="N187" s="243"/>
    </row>
    <row r="188" spans="1:14" x14ac:dyDescent="0.25">
      <c r="A188" s="229"/>
      <c r="B188" s="235"/>
      <c r="C188" s="235"/>
      <c r="D188" s="232"/>
      <c r="E188" s="232"/>
      <c r="F188" s="235"/>
      <c r="G188" s="235"/>
      <c r="H188" s="220"/>
      <c r="I188" s="220"/>
      <c r="J188" s="220"/>
      <c r="K188" s="4" t="s">
        <v>79</v>
      </c>
      <c r="L188" s="14" t="s">
        <v>94</v>
      </c>
      <c r="M188" s="235"/>
      <c r="N188" s="243"/>
    </row>
    <row r="189" spans="1:14" x14ac:dyDescent="0.25">
      <c r="A189" s="229"/>
      <c r="B189" s="235"/>
      <c r="C189" s="235"/>
      <c r="D189" s="232"/>
      <c r="E189" s="232"/>
      <c r="F189" s="235"/>
      <c r="G189" s="235"/>
      <c r="H189" s="220"/>
      <c r="I189" s="220"/>
      <c r="J189" s="220"/>
      <c r="K189" s="4" t="s">
        <v>80</v>
      </c>
      <c r="L189" s="14" t="s">
        <v>95</v>
      </c>
      <c r="M189" s="235"/>
      <c r="N189" s="243"/>
    </row>
    <row r="190" spans="1:14" x14ac:dyDescent="0.25">
      <c r="A190" s="229"/>
      <c r="B190" s="235"/>
      <c r="C190" s="235"/>
      <c r="D190" s="232"/>
      <c r="E190" s="232"/>
      <c r="F190" s="235"/>
      <c r="G190" s="235"/>
      <c r="H190" s="220"/>
      <c r="I190" s="220"/>
      <c r="J190" s="220"/>
      <c r="K190" s="4" t="s">
        <v>81</v>
      </c>
      <c r="L190" s="33" t="s">
        <v>167</v>
      </c>
      <c r="M190" s="235"/>
      <c r="N190" s="243"/>
    </row>
    <row r="191" spans="1:14" x14ac:dyDescent="0.25">
      <c r="A191" s="229"/>
      <c r="B191" s="235"/>
      <c r="C191" s="235"/>
      <c r="D191" s="232"/>
      <c r="E191" s="232"/>
      <c r="F191" s="235"/>
      <c r="G191" s="235"/>
      <c r="H191" s="220"/>
      <c r="I191" s="220"/>
      <c r="J191" s="220"/>
      <c r="K191" s="4" t="s">
        <v>82</v>
      </c>
      <c r="L191" s="14">
        <v>3</v>
      </c>
      <c r="M191" s="235"/>
      <c r="N191" s="243"/>
    </row>
    <row r="192" spans="1:14" x14ac:dyDescent="0.25">
      <c r="A192" s="229"/>
      <c r="B192" s="235"/>
      <c r="C192" s="235"/>
      <c r="D192" s="232"/>
      <c r="E192" s="232"/>
      <c r="F192" s="235"/>
      <c r="G192" s="235"/>
      <c r="H192" s="220"/>
      <c r="I192" s="220"/>
      <c r="J192" s="220"/>
      <c r="K192" s="4" t="s">
        <v>83</v>
      </c>
      <c r="L192" s="19" t="s">
        <v>43</v>
      </c>
      <c r="M192" s="235"/>
      <c r="N192" s="243"/>
    </row>
    <row r="193" spans="1:14" x14ac:dyDescent="0.25">
      <c r="A193" s="229"/>
      <c r="B193" s="235"/>
      <c r="C193" s="235"/>
      <c r="D193" s="232"/>
      <c r="E193" s="232"/>
      <c r="F193" s="235"/>
      <c r="G193" s="235"/>
      <c r="H193" s="220"/>
      <c r="I193" s="220"/>
      <c r="J193" s="220"/>
      <c r="K193" s="4" t="s">
        <v>193</v>
      </c>
      <c r="L193" s="19" t="s">
        <v>194</v>
      </c>
      <c r="M193" s="235"/>
      <c r="N193" s="243"/>
    </row>
    <row r="194" spans="1:14" x14ac:dyDescent="0.25">
      <c r="A194" s="229"/>
      <c r="B194" s="235"/>
      <c r="C194" s="235"/>
      <c r="D194" s="232"/>
      <c r="E194" s="232"/>
      <c r="F194" s="235"/>
      <c r="G194" s="235"/>
      <c r="H194" s="220"/>
      <c r="I194" s="220"/>
      <c r="J194" s="220"/>
      <c r="K194" s="4" t="s">
        <v>195</v>
      </c>
      <c r="L194" s="19" t="s">
        <v>43</v>
      </c>
      <c r="M194" s="235"/>
      <c r="N194" s="243"/>
    </row>
    <row r="195" spans="1:14" x14ac:dyDescent="0.25">
      <c r="A195" s="229"/>
      <c r="B195" s="235"/>
      <c r="C195" s="235"/>
      <c r="D195" s="232"/>
      <c r="E195" s="232"/>
      <c r="F195" s="235"/>
      <c r="G195" s="235"/>
      <c r="H195" s="220"/>
      <c r="I195" s="220"/>
      <c r="J195" s="220"/>
      <c r="K195" s="4" t="s">
        <v>88</v>
      </c>
      <c r="L195" s="14" t="s">
        <v>175</v>
      </c>
      <c r="M195" s="235"/>
      <c r="N195" s="243"/>
    </row>
    <row r="196" spans="1:14" x14ac:dyDescent="0.25">
      <c r="A196" s="229"/>
      <c r="B196" s="235"/>
      <c r="C196" s="235"/>
      <c r="D196" s="232"/>
      <c r="E196" s="232"/>
      <c r="F196" s="235"/>
      <c r="G196" s="235"/>
      <c r="H196" s="220"/>
      <c r="I196" s="220"/>
      <c r="J196" s="220"/>
      <c r="K196" s="4" t="s">
        <v>84</v>
      </c>
      <c r="L196" s="35">
        <v>46032</v>
      </c>
      <c r="M196" s="235"/>
      <c r="N196" s="243"/>
    </row>
    <row r="197" spans="1:14" x14ac:dyDescent="0.25">
      <c r="A197" s="229"/>
      <c r="B197" s="235"/>
      <c r="C197" s="235"/>
      <c r="D197" s="232"/>
      <c r="E197" s="232"/>
      <c r="F197" s="235"/>
      <c r="G197" s="235"/>
      <c r="H197" s="220"/>
      <c r="I197" s="220"/>
      <c r="J197" s="220"/>
      <c r="K197" s="4" t="s">
        <v>85</v>
      </c>
      <c r="L197" s="14" t="str">
        <f>IF(L184="Donald Easter","Donal Easter LLC",IF(L184="Aspire Intl  ","Aspire International",IF(L184="Money Maker EUR","MoneyMaker Ltd",IF(L184="TanishQ Entrp","TanishQ Enterpresis","NA"))))</f>
        <v>Donal Easter LLC</v>
      </c>
      <c r="M197" s="235"/>
      <c r="N197" s="243"/>
    </row>
    <row r="198" spans="1:14" x14ac:dyDescent="0.25">
      <c r="A198" s="229"/>
      <c r="B198" s="235"/>
      <c r="C198" s="235"/>
      <c r="D198" s="232"/>
      <c r="E198" s="232"/>
      <c r="F198" s="235"/>
      <c r="G198" s="235"/>
      <c r="H198" s="220"/>
      <c r="I198" s="220"/>
      <c r="J198" s="220"/>
      <c r="K198" s="4" t="s">
        <v>86</v>
      </c>
      <c r="L198" s="14" t="s">
        <v>192</v>
      </c>
      <c r="M198" s="235"/>
      <c r="N198" s="243"/>
    </row>
    <row r="199" spans="1:14" x14ac:dyDescent="0.25">
      <c r="A199" s="229"/>
      <c r="B199" s="235"/>
      <c r="C199" s="235"/>
      <c r="D199" s="232"/>
      <c r="E199" s="232"/>
      <c r="F199" s="235"/>
      <c r="G199" s="235"/>
      <c r="H199" s="220"/>
      <c r="I199" s="220"/>
      <c r="J199" s="220"/>
      <c r="K199" s="4" t="s">
        <v>87</v>
      </c>
      <c r="L199" s="14">
        <v>8691047788</v>
      </c>
      <c r="M199" s="235"/>
      <c r="N199" s="243"/>
    </row>
    <row r="200" spans="1:14" x14ac:dyDescent="0.25">
      <c r="A200" s="229"/>
      <c r="B200" s="235"/>
      <c r="C200" s="235"/>
      <c r="D200" s="232"/>
      <c r="E200" s="232"/>
      <c r="F200" s="235"/>
      <c r="G200" s="235"/>
      <c r="H200" s="220"/>
      <c r="I200" s="220"/>
      <c r="J200" s="220"/>
      <c r="K200" s="4" t="s">
        <v>89</v>
      </c>
      <c r="L200" s="14" t="s">
        <v>177</v>
      </c>
      <c r="M200" s="235"/>
      <c r="N200" s="243"/>
    </row>
    <row r="201" spans="1:14" ht="15.6" thickBot="1" x14ac:dyDescent="0.3">
      <c r="A201" s="230"/>
      <c r="B201" s="236"/>
      <c r="C201" s="236"/>
      <c r="D201" s="233"/>
      <c r="E201" s="233"/>
      <c r="F201" s="236"/>
      <c r="G201" s="236"/>
      <c r="H201" s="246"/>
      <c r="I201" s="246"/>
      <c r="J201" s="246"/>
      <c r="K201" s="72" t="s">
        <v>226</v>
      </c>
      <c r="L201" s="73" t="s">
        <v>43</v>
      </c>
      <c r="M201" s="236"/>
      <c r="N201" s="244"/>
    </row>
    <row r="202" spans="1:14" ht="15.6" thickBot="1" x14ac:dyDescent="0.3">
      <c r="K202" s="46"/>
      <c r="L202" s="133"/>
    </row>
    <row r="203" spans="1:14" ht="15" customHeight="1" thickBot="1" x14ac:dyDescent="0.3">
      <c r="A203" s="228" t="s">
        <v>943</v>
      </c>
      <c r="B203" s="234"/>
      <c r="C203" s="234" t="s">
        <v>728</v>
      </c>
      <c r="D203" s="231" t="s">
        <v>432</v>
      </c>
      <c r="E203" s="231" t="s">
        <v>9</v>
      </c>
      <c r="F203" s="234" t="s">
        <v>928</v>
      </c>
      <c r="G203" s="234" t="s">
        <v>929</v>
      </c>
      <c r="H203" s="247" t="s">
        <v>994</v>
      </c>
      <c r="I203" s="247" t="s">
        <v>994</v>
      </c>
      <c r="J203" s="245" t="s">
        <v>980</v>
      </c>
      <c r="K203" s="69" t="s">
        <v>75</v>
      </c>
      <c r="L203" s="68" t="s">
        <v>249</v>
      </c>
      <c r="M203" s="234" t="s">
        <v>720</v>
      </c>
      <c r="N203" s="242" t="s">
        <v>731</v>
      </c>
    </row>
    <row r="204" spans="1:14" x14ac:dyDescent="0.25">
      <c r="A204" s="229"/>
      <c r="B204" s="235"/>
      <c r="C204" s="235"/>
      <c r="D204" s="232"/>
      <c r="E204" s="232"/>
      <c r="F204" s="235"/>
      <c r="G204" s="235"/>
      <c r="H204" s="220"/>
      <c r="I204" s="220"/>
      <c r="J204" s="220"/>
      <c r="K204" s="4" t="s">
        <v>76</v>
      </c>
      <c r="L204" s="14" t="str">
        <f>L203</f>
        <v xml:space="preserve">Aspire Intl  </v>
      </c>
      <c r="M204" s="235"/>
      <c r="N204" s="243"/>
    </row>
    <row r="205" spans="1:14" x14ac:dyDescent="0.25">
      <c r="A205" s="229"/>
      <c r="B205" s="235"/>
      <c r="C205" s="235"/>
      <c r="D205" s="232"/>
      <c r="E205" s="232"/>
      <c r="F205" s="235"/>
      <c r="G205" s="235"/>
      <c r="H205" s="220"/>
      <c r="I205" s="220"/>
      <c r="J205" s="220"/>
      <c r="K205" s="4" t="s">
        <v>77</v>
      </c>
      <c r="L205" s="14" t="s">
        <v>180</v>
      </c>
      <c r="M205" s="235"/>
      <c r="N205" s="243"/>
    </row>
    <row r="206" spans="1:14" x14ac:dyDescent="0.25">
      <c r="A206" s="229"/>
      <c r="B206" s="235"/>
      <c r="C206" s="235"/>
      <c r="D206" s="232"/>
      <c r="E206" s="232"/>
      <c r="F206" s="235"/>
      <c r="G206" s="235"/>
      <c r="H206" s="220"/>
      <c r="I206" s="220"/>
      <c r="J206" s="220"/>
      <c r="K206" s="4" t="s">
        <v>78</v>
      </c>
      <c r="L206" s="14" t="s">
        <v>158</v>
      </c>
      <c r="M206" s="235"/>
      <c r="N206" s="243"/>
    </row>
    <row r="207" spans="1:14" x14ac:dyDescent="0.25">
      <c r="A207" s="229"/>
      <c r="B207" s="235"/>
      <c r="C207" s="235"/>
      <c r="D207" s="232"/>
      <c r="E207" s="232"/>
      <c r="F207" s="235"/>
      <c r="G207" s="235"/>
      <c r="H207" s="220"/>
      <c r="I207" s="220"/>
      <c r="J207" s="220"/>
      <c r="K207" s="4" t="s">
        <v>79</v>
      </c>
      <c r="L207" s="14" t="s">
        <v>94</v>
      </c>
      <c r="M207" s="235"/>
      <c r="N207" s="243"/>
    </row>
    <row r="208" spans="1:14" x14ac:dyDescent="0.25">
      <c r="A208" s="229"/>
      <c r="B208" s="235"/>
      <c r="C208" s="235"/>
      <c r="D208" s="232"/>
      <c r="E208" s="232"/>
      <c r="F208" s="235"/>
      <c r="G208" s="235"/>
      <c r="H208" s="220"/>
      <c r="I208" s="220"/>
      <c r="J208" s="220"/>
      <c r="K208" s="4" t="s">
        <v>201</v>
      </c>
      <c r="L208" s="14" t="s">
        <v>197</v>
      </c>
      <c r="M208" s="235"/>
      <c r="N208" s="243"/>
    </row>
    <row r="209" spans="1:14" x14ac:dyDescent="0.25">
      <c r="A209" s="229"/>
      <c r="B209" s="235"/>
      <c r="C209" s="235"/>
      <c r="D209" s="232"/>
      <c r="E209" s="232"/>
      <c r="F209" s="235"/>
      <c r="G209" s="235"/>
      <c r="H209" s="220"/>
      <c r="I209" s="220"/>
      <c r="J209" s="220"/>
      <c r="K209" s="4" t="s">
        <v>81</v>
      </c>
      <c r="L209" s="33" t="s">
        <v>167</v>
      </c>
      <c r="M209" s="235"/>
      <c r="N209" s="243"/>
    </row>
    <row r="210" spans="1:14" x14ac:dyDescent="0.25">
      <c r="A210" s="229"/>
      <c r="B210" s="235"/>
      <c r="C210" s="235"/>
      <c r="D210" s="232"/>
      <c r="E210" s="232"/>
      <c r="F210" s="235"/>
      <c r="G210" s="235"/>
      <c r="H210" s="220"/>
      <c r="I210" s="220"/>
      <c r="J210" s="220"/>
      <c r="K210" s="4" t="s">
        <v>82</v>
      </c>
      <c r="L210" s="14">
        <v>3</v>
      </c>
      <c r="M210" s="235"/>
      <c r="N210" s="243"/>
    </row>
    <row r="211" spans="1:14" x14ac:dyDescent="0.25">
      <c r="A211" s="229"/>
      <c r="B211" s="235"/>
      <c r="C211" s="235"/>
      <c r="D211" s="232"/>
      <c r="E211" s="232"/>
      <c r="F211" s="235"/>
      <c r="G211" s="235"/>
      <c r="H211" s="220"/>
      <c r="I211" s="220"/>
      <c r="J211" s="220"/>
      <c r="K211" s="4" t="s">
        <v>83</v>
      </c>
      <c r="L211" s="19" t="s">
        <v>43</v>
      </c>
      <c r="M211" s="235"/>
      <c r="N211" s="243"/>
    </row>
    <row r="212" spans="1:14" x14ac:dyDescent="0.25">
      <c r="A212" s="229"/>
      <c r="B212" s="235"/>
      <c r="C212" s="235"/>
      <c r="D212" s="232"/>
      <c r="E212" s="232"/>
      <c r="F212" s="235"/>
      <c r="G212" s="235"/>
      <c r="H212" s="220"/>
      <c r="I212" s="220"/>
      <c r="J212" s="220"/>
      <c r="K212" s="4" t="s">
        <v>193</v>
      </c>
      <c r="L212" s="19">
        <v>20</v>
      </c>
      <c r="M212" s="235"/>
      <c r="N212" s="243"/>
    </row>
    <row r="213" spans="1:14" x14ac:dyDescent="0.25">
      <c r="A213" s="229"/>
      <c r="B213" s="235"/>
      <c r="C213" s="235"/>
      <c r="D213" s="232"/>
      <c r="E213" s="232"/>
      <c r="F213" s="235"/>
      <c r="G213" s="235"/>
      <c r="H213" s="220"/>
      <c r="I213" s="220"/>
      <c r="J213" s="220"/>
      <c r="K213" s="4" t="s">
        <v>195</v>
      </c>
      <c r="L213" s="19" t="s">
        <v>43</v>
      </c>
      <c r="M213" s="235"/>
      <c r="N213" s="243"/>
    </row>
    <row r="214" spans="1:14" x14ac:dyDescent="0.25">
      <c r="A214" s="229"/>
      <c r="B214" s="235"/>
      <c r="C214" s="235"/>
      <c r="D214" s="232"/>
      <c r="E214" s="232"/>
      <c r="F214" s="235"/>
      <c r="G214" s="235"/>
      <c r="H214" s="220"/>
      <c r="I214" s="220"/>
      <c r="J214" s="220"/>
      <c r="K214" s="4" t="s">
        <v>88</v>
      </c>
      <c r="L214" s="14" t="s">
        <v>175</v>
      </c>
      <c r="M214" s="235"/>
      <c r="N214" s="243"/>
    </row>
    <row r="215" spans="1:14" x14ac:dyDescent="0.25">
      <c r="A215" s="229"/>
      <c r="B215" s="235"/>
      <c r="C215" s="235"/>
      <c r="D215" s="232"/>
      <c r="E215" s="232"/>
      <c r="F215" s="235"/>
      <c r="G215" s="235"/>
      <c r="H215" s="220"/>
      <c r="I215" s="220"/>
      <c r="J215" s="220"/>
      <c r="K215" s="4" t="s">
        <v>84</v>
      </c>
      <c r="L215" s="35">
        <v>46032</v>
      </c>
      <c r="M215" s="235"/>
      <c r="N215" s="243"/>
    </row>
    <row r="216" spans="1:14" x14ac:dyDescent="0.25">
      <c r="A216" s="229"/>
      <c r="B216" s="235"/>
      <c r="C216" s="235"/>
      <c r="D216" s="232"/>
      <c r="E216" s="232"/>
      <c r="F216" s="235"/>
      <c r="G216" s="235"/>
      <c r="H216" s="220"/>
      <c r="I216" s="220"/>
      <c r="J216" s="220"/>
      <c r="K216" s="4" t="s">
        <v>85</v>
      </c>
      <c r="L216" s="14" t="str">
        <f>IF(L203="Donald Easter","Donal Easter LLC",IF(L203="Aspire Intl  ","Aspire International",IF(L203="Money Maker EUR","MoneyMaker Ltd",IF(L203="TanishQ Entrp","TanishQ Enterpresis","NA"))))</f>
        <v>Aspire International</v>
      </c>
      <c r="M216" s="235"/>
      <c r="N216" s="243"/>
    </row>
    <row r="217" spans="1:14" x14ac:dyDescent="0.25">
      <c r="A217" s="229"/>
      <c r="B217" s="235"/>
      <c r="C217" s="235"/>
      <c r="D217" s="232"/>
      <c r="E217" s="232"/>
      <c r="F217" s="235"/>
      <c r="G217" s="235"/>
      <c r="H217" s="220"/>
      <c r="I217" s="220"/>
      <c r="J217" s="220"/>
      <c r="K217" s="4" t="s">
        <v>86</v>
      </c>
      <c r="L217" s="14" t="s">
        <v>192</v>
      </c>
      <c r="M217" s="235"/>
      <c r="N217" s="243"/>
    </row>
    <row r="218" spans="1:14" x14ac:dyDescent="0.25">
      <c r="A218" s="229"/>
      <c r="B218" s="235"/>
      <c r="C218" s="235"/>
      <c r="D218" s="232"/>
      <c r="E218" s="232"/>
      <c r="F218" s="235"/>
      <c r="G218" s="235"/>
      <c r="H218" s="220"/>
      <c r="I218" s="220"/>
      <c r="J218" s="220"/>
      <c r="K218" s="4" t="s">
        <v>87</v>
      </c>
      <c r="L218" s="14">
        <v>8691047788</v>
      </c>
      <c r="M218" s="235"/>
      <c r="N218" s="243"/>
    </row>
    <row r="219" spans="1:14" x14ac:dyDescent="0.25">
      <c r="A219" s="229"/>
      <c r="B219" s="235"/>
      <c r="C219" s="235"/>
      <c r="D219" s="232"/>
      <c r="E219" s="232"/>
      <c r="F219" s="235"/>
      <c r="G219" s="235"/>
      <c r="H219" s="220"/>
      <c r="I219" s="220"/>
      <c r="J219" s="220"/>
      <c r="K219" s="4" t="s">
        <v>89</v>
      </c>
      <c r="L219" s="14" t="s">
        <v>177</v>
      </c>
      <c r="M219" s="235"/>
      <c r="N219" s="243"/>
    </row>
    <row r="220" spans="1:14" ht="15.6" thickBot="1" x14ac:dyDescent="0.3">
      <c r="A220" s="230"/>
      <c r="B220" s="236"/>
      <c r="C220" s="236"/>
      <c r="D220" s="233"/>
      <c r="E220" s="233"/>
      <c r="F220" s="236"/>
      <c r="G220" s="236"/>
      <c r="H220" s="246"/>
      <c r="I220" s="246"/>
      <c r="J220" s="246"/>
      <c r="K220" s="72" t="s">
        <v>226</v>
      </c>
      <c r="L220" s="73" t="s">
        <v>43</v>
      </c>
      <c r="M220" s="236"/>
      <c r="N220" s="244"/>
    </row>
    <row r="221" spans="1:14" ht="15.6" thickBot="1" x14ac:dyDescent="0.3"/>
    <row r="222" spans="1:14" ht="15" customHeight="1" thickBot="1" x14ac:dyDescent="0.3">
      <c r="A222" s="228" t="s">
        <v>944</v>
      </c>
      <c r="B222" s="234"/>
      <c r="C222" s="234" t="s">
        <v>728</v>
      </c>
      <c r="D222" s="231" t="s">
        <v>432</v>
      </c>
      <c r="E222" s="231" t="s">
        <v>945</v>
      </c>
      <c r="F222" s="234" t="s">
        <v>928</v>
      </c>
      <c r="G222" s="234" t="s">
        <v>929</v>
      </c>
      <c r="H222" s="247" t="s">
        <v>994</v>
      </c>
      <c r="I222" s="247" t="s">
        <v>994</v>
      </c>
      <c r="J222" s="245" t="s">
        <v>981</v>
      </c>
      <c r="K222" s="69" t="s">
        <v>265</v>
      </c>
      <c r="L222" s="68" t="s">
        <v>174</v>
      </c>
      <c r="M222" s="234" t="s">
        <v>720</v>
      </c>
      <c r="N222" s="242" t="s">
        <v>731</v>
      </c>
    </row>
    <row r="223" spans="1:14" x14ac:dyDescent="0.25">
      <c r="A223" s="229"/>
      <c r="B223" s="235"/>
      <c r="C223" s="235"/>
      <c r="D223" s="232"/>
      <c r="E223" s="232"/>
      <c r="F223" s="235"/>
      <c r="G223" s="235"/>
      <c r="H223" s="220"/>
      <c r="I223" s="220"/>
      <c r="J223" s="220"/>
      <c r="K223" s="4" t="s">
        <v>266</v>
      </c>
      <c r="L223" s="19" t="s">
        <v>267</v>
      </c>
      <c r="M223" s="235"/>
      <c r="N223" s="243"/>
    </row>
    <row r="224" spans="1:14" x14ac:dyDescent="0.25">
      <c r="A224" s="229"/>
      <c r="B224" s="235"/>
      <c r="C224" s="235"/>
      <c r="D224" s="232"/>
      <c r="E224" s="232"/>
      <c r="F224" s="235"/>
      <c r="G224" s="235"/>
      <c r="H224" s="220"/>
      <c r="I224" s="220"/>
      <c r="J224" s="220"/>
      <c r="K224" s="4" t="s">
        <v>268</v>
      </c>
      <c r="L224" s="14" t="s">
        <v>273</v>
      </c>
      <c r="M224" s="235"/>
      <c r="N224" s="243"/>
    </row>
    <row r="225" spans="1:14" x14ac:dyDescent="0.25">
      <c r="A225" s="229"/>
      <c r="B225" s="235"/>
      <c r="C225" s="235"/>
      <c r="D225" s="232"/>
      <c r="E225" s="232"/>
      <c r="F225" s="235"/>
      <c r="G225" s="235"/>
      <c r="H225" s="220"/>
      <c r="I225" s="220"/>
      <c r="J225" s="220"/>
      <c r="K225" s="4" t="s">
        <v>275</v>
      </c>
      <c r="L225" s="67">
        <v>46032</v>
      </c>
      <c r="M225" s="235"/>
      <c r="N225" s="243"/>
    </row>
    <row r="226" spans="1:14" ht="28.8" x14ac:dyDescent="0.25">
      <c r="A226" s="229"/>
      <c r="B226" s="235"/>
      <c r="C226" s="235"/>
      <c r="D226" s="232"/>
      <c r="E226" s="232"/>
      <c r="F226" s="235"/>
      <c r="G226" s="235"/>
      <c r="H226" s="220"/>
      <c r="I226" s="220"/>
      <c r="J226" s="220"/>
      <c r="K226" s="4" t="s">
        <v>276</v>
      </c>
      <c r="L226" s="63" t="s">
        <v>315</v>
      </c>
      <c r="M226" s="235"/>
      <c r="N226" s="243"/>
    </row>
    <row r="227" spans="1:14" x14ac:dyDescent="0.25">
      <c r="A227" s="229"/>
      <c r="B227" s="235"/>
      <c r="C227" s="235"/>
      <c r="D227" s="232"/>
      <c r="E227" s="232"/>
      <c r="F227" s="235"/>
      <c r="G227" s="235"/>
      <c r="H227" s="220"/>
      <c r="I227" s="220"/>
      <c r="J227" s="220"/>
      <c r="K227" s="4" t="s">
        <v>277</v>
      </c>
      <c r="L227" s="14">
        <v>20</v>
      </c>
      <c r="M227" s="235"/>
      <c r="N227" s="243"/>
    </row>
    <row r="228" spans="1:14" x14ac:dyDescent="0.25">
      <c r="A228" s="229"/>
      <c r="B228" s="235"/>
      <c r="C228" s="235"/>
      <c r="D228" s="232"/>
      <c r="E228" s="232"/>
      <c r="F228" s="235"/>
      <c r="G228" s="235"/>
      <c r="H228" s="220"/>
      <c r="I228" s="220"/>
      <c r="J228" s="220"/>
      <c r="K228" s="4" t="s">
        <v>292</v>
      </c>
      <c r="L228" s="14">
        <v>40</v>
      </c>
      <c r="M228" s="235"/>
      <c r="N228" s="243"/>
    </row>
    <row r="229" spans="1:14" x14ac:dyDescent="0.25">
      <c r="A229" s="229"/>
      <c r="B229" s="235"/>
      <c r="C229" s="235"/>
      <c r="D229" s="232"/>
      <c r="E229" s="232"/>
      <c r="F229" s="235"/>
      <c r="G229" s="235"/>
      <c r="H229" s="220"/>
      <c r="I229" s="220"/>
      <c r="J229" s="220"/>
      <c r="K229" s="4" t="s">
        <v>278</v>
      </c>
      <c r="L229" s="19" t="s">
        <v>267</v>
      </c>
      <c r="M229" s="235"/>
      <c r="N229" s="243"/>
    </row>
    <row r="230" spans="1:14" ht="28.8" x14ac:dyDescent="0.25">
      <c r="A230" s="229"/>
      <c r="B230" s="235"/>
      <c r="C230" s="235"/>
      <c r="D230" s="232"/>
      <c r="E230" s="232"/>
      <c r="F230" s="235"/>
      <c r="G230" s="235"/>
      <c r="H230" s="220"/>
      <c r="I230" s="220"/>
      <c r="J230" s="220"/>
      <c r="K230" s="4" t="s">
        <v>295</v>
      </c>
      <c r="L230" s="54" t="s">
        <v>296</v>
      </c>
      <c r="M230" s="235"/>
      <c r="N230" s="243"/>
    </row>
    <row r="231" spans="1:14" ht="15.6" thickBot="1" x14ac:dyDescent="0.3">
      <c r="A231" s="230"/>
      <c r="B231" s="236"/>
      <c r="C231" s="236"/>
      <c r="D231" s="233"/>
      <c r="E231" s="233"/>
      <c r="F231" s="236"/>
      <c r="G231" s="236"/>
      <c r="H231" s="246"/>
      <c r="I231" s="246"/>
      <c r="J231" s="246"/>
      <c r="K231" s="72" t="s">
        <v>311</v>
      </c>
      <c r="L231" s="73" t="s">
        <v>299</v>
      </c>
      <c r="M231" s="236"/>
      <c r="N231" s="244"/>
    </row>
    <row r="232" spans="1:14" ht="15.6" thickBot="1" x14ac:dyDescent="0.3"/>
    <row r="233" spans="1:14" ht="15" customHeight="1" thickBot="1" x14ac:dyDescent="0.3">
      <c r="A233" s="228" t="s">
        <v>946</v>
      </c>
      <c r="B233" s="234"/>
      <c r="C233" s="234" t="s">
        <v>728</v>
      </c>
      <c r="D233" s="231" t="s">
        <v>432</v>
      </c>
      <c r="E233" s="231" t="s">
        <v>947</v>
      </c>
      <c r="F233" s="234" t="s">
        <v>928</v>
      </c>
      <c r="G233" s="234" t="s">
        <v>929</v>
      </c>
      <c r="H233" s="247" t="s">
        <v>994</v>
      </c>
      <c r="I233" s="247" t="s">
        <v>994</v>
      </c>
      <c r="J233" s="245" t="s">
        <v>982</v>
      </c>
      <c r="K233" s="69" t="s">
        <v>268</v>
      </c>
      <c r="L233" s="68" t="s">
        <v>274</v>
      </c>
      <c r="M233" s="234" t="s">
        <v>720</v>
      </c>
      <c r="N233" s="242" t="s">
        <v>731</v>
      </c>
    </row>
    <row r="234" spans="1:14" x14ac:dyDescent="0.25">
      <c r="A234" s="229"/>
      <c r="B234" s="235"/>
      <c r="C234" s="235"/>
      <c r="D234" s="232"/>
      <c r="E234" s="232"/>
      <c r="F234" s="235"/>
      <c r="G234" s="235"/>
      <c r="H234" s="220"/>
      <c r="I234" s="220"/>
      <c r="J234" s="220"/>
      <c r="K234" s="4" t="s">
        <v>266</v>
      </c>
      <c r="L234" s="19" t="s">
        <v>267</v>
      </c>
      <c r="M234" s="235"/>
      <c r="N234" s="243"/>
    </row>
    <row r="235" spans="1:14" x14ac:dyDescent="0.25">
      <c r="A235" s="229"/>
      <c r="B235" s="235"/>
      <c r="C235" s="235"/>
      <c r="D235" s="232"/>
      <c r="E235" s="232"/>
      <c r="F235" s="235"/>
      <c r="G235" s="235"/>
      <c r="H235" s="220"/>
      <c r="I235" s="220"/>
      <c r="J235" s="220"/>
      <c r="K235" s="4" t="s">
        <v>275</v>
      </c>
      <c r="L235" s="67">
        <v>46213</v>
      </c>
      <c r="M235" s="235"/>
      <c r="N235" s="243"/>
    </row>
    <row r="236" spans="1:14" x14ac:dyDescent="0.25">
      <c r="A236" s="229"/>
      <c r="B236" s="235"/>
      <c r="C236" s="235"/>
      <c r="D236" s="232"/>
      <c r="E236" s="232"/>
      <c r="F236" s="235"/>
      <c r="G236" s="235"/>
      <c r="H236" s="220"/>
      <c r="I236" s="220"/>
      <c r="J236" s="220"/>
      <c r="K236" s="4" t="s">
        <v>387</v>
      </c>
      <c r="L236" s="35" t="s">
        <v>407</v>
      </c>
      <c r="M236" s="235"/>
      <c r="N236" s="243"/>
    </row>
    <row r="237" spans="1:14" x14ac:dyDescent="0.25">
      <c r="A237" s="229"/>
      <c r="B237" s="235"/>
      <c r="C237" s="235"/>
      <c r="D237" s="232"/>
      <c r="E237" s="232"/>
      <c r="F237" s="235"/>
      <c r="G237" s="235"/>
      <c r="H237" s="220"/>
      <c r="I237" s="220"/>
      <c r="J237" s="220"/>
      <c r="K237" s="4" t="s">
        <v>389</v>
      </c>
      <c r="L237" s="14" t="s">
        <v>157</v>
      </c>
      <c r="M237" s="235"/>
      <c r="N237" s="243"/>
    </row>
    <row r="238" spans="1:14" x14ac:dyDescent="0.25">
      <c r="A238" s="229"/>
      <c r="B238" s="235"/>
      <c r="C238" s="235"/>
      <c r="D238" s="232"/>
      <c r="E238" s="232"/>
      <c r="F238" s="235"/>
      <c r="G238" s="235"/>
      <c r="H238" s="220"/>
      <c r="I238" s="220"/>
      <c r="J238" s="220"/>
      <c r="K238" s="4" t="s">
        <v>408</v>
      </c>
      <c r="L238" s="14" t="s">
        <v>409</v>
      </c>
      <c r="M238" s="235"/>
      <c r="N238" s="243"/>
    </row>
    <row r="239" spans="1:14" x14ac:dyDescent="0.25">
      <c r="A239" s="229"/>
      <c r="B239" s="235"/>
      <c r="C239" s="235"/>
      <c r="D239" s="232"/>
      <c r="E239" s="232"/>
      <c r="F239" s="235"/>
      <c r="G239" s="235"/>
      <c r="H239" s="220"/>
      <c r="I239" s="220"/>
      <c r="J239" s="220"/>
      <c r="K239" s="4" t="s">
        <v>391</v>
      </c>
      <c r="L239" s="19">
        <v>5</v>
      </c>
      <c r="M239" s="235"/>
      <c r="N239" s="243"/>
    </row>
    <row r="240" spans="1:14" x14ac:dyDescent="0.25">
      <c r="A240" s="229"/>
      <c r="B240" s="235"/>
      <c r="C240" s="235"/>
      <c r="D240" s="232"/>
      <c r="E240" s="232"/>
      <c r="F240" s="235"/>
      <c r="G240" s="235"/>
      <c r="H240" s="220"/>
      <c r="I240" s="220"/>
      <c r="J240" s="220"/>
      <c r="K240" s="4" t="s">
        <v>394</v>
      </c>
      <c r="L240" s="19">
        <v>20</v>
      </c>
      <c r="M240" s="235"/>
      <c r="N240" s="243"/>
    </row>
    <row r="241" spans="1:14" x14ac:dyDescent="0.25">
      <c r="A241" s="229"/>
      <c r="B241" s="235"/>
      <c r="C241" s="235"/>
      <c r="D241" s="232"/>
      <c r="E241" s="232"/>
      <c r="F241" s="235"/>
      <c r="G241" s="235"/>
      <c r="H241" s="220"/>
      <c r="I241" s="220"/>
      <c r="J241" s="220"/>
      <c r="K241" s="4" t="s">
        <v>278</v>
      </c>
      <c r="L241" s="19" t="s">
        <v>267</v>
      </c>
      <c r="M241" s="235"/>
      <c r="N241" s="243"/>
    </row>
    <row r="242" spans="1:14" ht="15.6" thickBot="1" x14ac:dyDescent="0.3">
      <c r="A242" s="230"/>
      <c r="B242" s="236"/>
      <c r="C242" s="236"/>
      <c r="D242" s="233"/>
      <c r="E242" s="233"/>
      <c r="F242" s="236"/>
      <c r="G242" s="236"/>
      <c r="H242" s="246"/>
      <c r="I242" s="246"/>
      <c r="J242" s="246"/>
      <c r="K242" s="72" t="s">
        <v>404</v>
      </c>
      <c r="L242" s="73" t="s">
        <v>299</v>
      </c>
      <c r="M242" s="236"/>
      <c r="N242" s="244"/>
    </row>
    <row r="243" spans="1:14" ht="15.6" thickBot="1" x14ac:dyDescent="0.3"/>
    <row r="244" spans="1:14" ht="15" customHeight="1" thickBot="1" x14ac:dyDescent="0.3">
      <c r="A244" s="228" t="s">
        <v>948</v>
      </c>
      <c r="B244" s="234"/>
      <c r="C244" s="234" t="s">
        <v>728</v>
      </c>
      <c r="D244" s="231" t="s">
        <v>432</v>
      </c>
      <c r="E244" s="231" t="s">
        <v>947</v>
      </c>
      <c r="F244" s="234" t="s">
        <v>928</v>
      </c>
      <c r="G244" s="234" t="s">
        <v>929</v>
      </c>
      <c r="H244" s="247" t="s">
        <v>994</v>
      </c>
      <c r="I244" s="247" t="s">
        <v>994</v>
      </c>
      <c r="J244" s="245" t="s">
        <v>981</v>
      </c>
      <c r="K244" s="69" t="s">
        <v>268</v>
      </c>
      <c r="L244" s="68" t="s">
        <v>271</v>
      </c>
      <c r="M244" s="234" t="s">
        <v>720</v>
      </c>
      <c r="N244" s="242" t="s">
        <v>731</v>
      </c>
    </row>
    <row r="245" spans="1:14" x14ac:dyDescent="0.25">
      <c r="A245" s="229"/>
      <c r="B245" s="235"/>
      <c r="C245" s="235"/>
      <c r="D245" s="232"/>
      <c r="E245" s="232"/>
      <c r="F245" s="235"/>
      <c r="G245" s="235"/>
      <c r="H245" s="220"/>
      <c r="I245" s="220"/>
      <c r="J245" s="220"/>
      <c r="K245" s="4" t="s">
        <v>266</v>
      </c>
      <c r="L245" s="19" t="s">
        <v>267</v>
      </c>
      <c r="M245" s="235"/>
      <c r="N245" s="243"/>
    </row>
    <row r="246" spans="1:14" x14ac:dyDescent="0.25">
      <c r="A246" s="229"/>
      <c r="B246" s="235"/>
      <c r="C246" s="235"/>
      <c r="D246" s="232"/>
      <c r="E246" s="232"/>
      <c r="F246" s="235"/>
      <c r="G246" s="235"/>
      <c r="H246" s="220"/>
      <c r="I246" s="220"/>
      <c r="J246" s="220"/>
      <c r="K246" s="4" t="s">
        <v>275</v>
      </c>
      <c r="L246" s="67">
        <v>46213</v>
      </c>
      <c r="M246" s="235"/>
      <c r="N246" s="243"/>
    </row>
    <row r="247" spans="1:14" x14ac:dyDescent="0.25">
      <c r="A247" s="229"/>
      <c r="B247" s="235"/>
      <c r="C247" s="235"/>
      <c r="D247" s="232"/>
      <c r="E247" s="232"/>
      <c r="F247" s="235"/>
      <c r="G247" s="235"/>
      <c r="H247" s="220"/>
      <c r="I247" s="220"/>
      <c r="J247" s="220"/>
      <c r="K247" s="4" t="s">
        <v>387</v>
      </c>
      <c r="L247" s="35" t="s">
        <v>415</v>
      </c>
      <c r="M247" s="235"/>
      <c r="N247" s="243"/>
    </row>
    <row r="248" spans="1:14" x14ac:dyDescent="0.25">
      <c r="A248" s="229"/>
      <c r="B248" s="235"/>
      <c r="C248" s="235"/>
      <c r="D248" s="232"/>
      <c r="E248" s="232"/>
      <c r="F248" s="235"/>
      <c r="G248" s="235"/>
      <c r="H248" s="220"/>
      <c r="I248" s="220"/>
      <c r="J248" s="220"/>
      <c r="K248" s="4" t="s">
        <v>389</v>
      </c>
      <c r="L248" s="14" t="s">
        <v>157</v>
      </c>
      <c r="M248" s="235"/>
      <c r="N248" s="243"/>
    </row>
    <row r="249" spans="1:14" x14ac:dyDescent="0.25">
      <c r="A249" s="229"/>
      <c r="B249" s="235"/>
      <c r="C249" s="235"/>
      <c r="D249" s="232"/>
      <c r="E249" s="232"/>
      <c r="F249" s="235"/>
      <c r="G249" s="235"/>
      <c r="H249" s="220"/>
      <c r="I249" s="220"/>
      <c r="J249" s="220"/>
      <c r="K249" s="4" t="s">
        <v>391</v>
      </c>
      <c r="L249" s="19">
        <v>5</v>
      </c>
      <c r="M249" s="235"/>
      <c r="N249" s="243"/>
    </row>
    <row r="250" spans="1:14" x14ac:dyDescent="0.25">
      <c r="A250" s="229"/>
      <c r="B250" s="235"/>
      <c r="C250" s="235"/>
      <c r="D250" s="232"/>
      <c r="E250" s="232"/>
      <c r="F250" s="235"/>
      <c r="G250" s="235"/>
      <c r="H250" s="220"/>
      <c r="I250" s="220"/>
      <c r="J250" s="220"/>
      <c r="K250" s="4" t="s">
        <v>394</v>
      </c>
      <c r="L250" s="19">
        <v>20</v>
      </c>
      <c r="M250" s="235"/>
      <c r="N250" s="243"/>
    </row>
    <row r="251" spans="1:14" x14ac:dyDescent="0.25">
      <c r="A251" s="229"/>
      <c r="B251" s="235"/>
      <c r="C251" s="235"/>
      <c r="D251" s="232"/>
      <c r="E251" s="232"/>
      <c r="F251" s="235"/>
      <c r="G251" s="235"/>
      <c r="H251" s="220"/>
      <c r="I251" s="220"/>
      <c r="J251" s="220"/>
      <c r="K251" s="4" t="s">
        <v>278</v>
      </c>
      <c r="L251" s="19" t="s">
        <v>267</v>
      </c>
      <c r="M251" s="235"/>
      <c r="N251" s="243"/>
    </row>
    <row r="252" spans="1:14" ht="15.6" thickBot="1" x14ac:dyDescent="0.3">
      <c r="A252" s="230"/>
      <c r="B252" s="236"/>
      <c r="C252" s="236"/>
      <c r="D252" s="233"/>
      <c r="E252" s="233"/>
      <c r="F252" s="236"/>
      <c r="G252" s="236"/>
      <c r="H252" s="246"/>
      <c r="I252" s="246"/>
      <c r="J252" s="246"/>
      <c r="K252" s="72" t="s">
        <v>404</v>
      </c>
      <c r="L252" s="73" t="s">
        <v>299</v>
      </c>
      <c r="M252" s="236"/>
      <c r="N252" s="244"/>
    </row>
    <row r="253" spans="1:14" ht="15.6" thickBot="1" x14ac:dyDescent="0.3"/>
    <row r="254" spans="1:14" ht="15" customHeight="1" thickBot="1" x14ac:dyDescent="0.3">
      <c r="A254" s="228" t="s">
        <v>949</v>
      </c>
      <c r="B254" s="234"/>
      <c r="C254" s="234" t="s">
        <v>728</v>
      </c>
      <c r="D254" s="231" t="s">
        <v>432</v>
      </c>
      <c r="E254" s="231" t="s">
        <v>947</v>
      </c>
      <c r="F254" s="234" t="s">
        <v>928</v>
      </c>
      <c r="G254" s="234" t="s">
        <v>929</v>
      </c>
      <c r="H254" s="247" t="s">
        <v>995</v>
      </c>
      <c r="I254" s="247" t="s">
        <v>995</v>
      </c>
      <c r="J254" s="245" t="s">
        <v>983</v>
      </c>
      <c r="K254" s="69" t="s">
        <v>268</v>
      </c>
      <c r="L254" s="68" t="s">
        <v>270</v>
      </c>
      <c r="M254" s="234" t="s">
        <v>720</v>
      </c>
      <c r="N254" s="242" t="s">
        <v>731</v>
      </c>
    </row>
    <row r="255" spans="1:14" x14ac:dyDescent="0.25">
      <c r="A255" s="229"/>
      <c r="B255" s="235"/>
      <c r="C255" s="235"/>
      <c r="D255" s="232"/>
      <c r="E255" s="232"/>
      <c r="F255" s="235"/>
      <c r="G255" s="235"/>
      <c r="H255" s="220"/>
      <c r="I255" s="220"/>
      <c r="J255" s="220"/>
      <c r="K255" s="4" t="s">
        <v>266</v>
      </c>
      <c r="L255" s="19" t="s">
        <v>267</v>
      </c>
      <c r="M255" s="235"/>
      <c r="N255" s="243"/>
    </row>
    <row r="256" spans="1:14" x14ac:dyDescent="0.25">
      <c r="A256" s="229"/>
      <c r="B256" s="235"/>
      <c r="C256" s="235"/>
      <c r="D256" s="232"/>
      <c r="E256" s="232"/>
      <c r="F256" s="235"/>
      <c r="G256" s="235"/>
      <c r="H256" s="220"/>
      <c r="I256" s="220"/>
      <c r="J256" s="220"/>
      <c r="K256" s="4" t="s">
        <v>275</v>
      </c>
      <c r="L256" s="67">
        <v>46213</v>
      </c>
      <c r="M256" s="235"/>
      <c r="N256" s="243"/>
    </row>
    <row r="257" spans="1:14" x14ac:dyDescent="0.25">
      <c r="A257" s="229"/>
      <c r="B257" s="235"/>
      <c r="C257" s="235"/>
      <c r="D257" s="232"/>
      <c r="E257" s="232"/>
      <c r="F257" s="235"/>
      <c r="G257" s="235"/>
      <c r="H257" s="220"/>
      <c r="I257" s="220"/>
      <c r="J257" s="220"/>
      <c r="K257" s="4" t="s">
        <v>387</v>
      </c>
      <c r="L257" s="35" t="s">
        <v>388</v>
      </c>
      <c r="M257" s="235"/>
      <c r="N257" s="243"/>
    </row>
    <row r="258" spans="1:14" x14ac:dyDescent="0.25">
      <c r="A258" s="229"/>
      <c r="B258" s="235"/>
      <c r="C258" s="235"/>
      <c r="D258" s="232"/>
      <c r="E258" s="232"/>
      <c r="F258" s="235"/>
      <c r="G258" s="235"/>
      <c r="H258" s="220"/>
      <c r="I258" s="220"/>
      <c r="J258" s="220"/>
      <c r="K258" s="4" t="s">
        <v>389</v>
      </c>
      <c r="L258" s="14" t="s">
        <v>159</v>
      </c>
      <c r="M258" s="235"/>
      <c r="N258" s="243"/>
    </row>
    <row r="259" spans="1:14" x14ac:dyDescent="0.25">
      <c r="A259" s="229"/>
      <c r="B259" s="235"/>
      <c r="C259" s="235"/>
      <c r="D259" s="232"/>
      <c r="E259" s="232"/>
      <c r="F259" s="235"/>
      <c r="G259" s="235"/>
      <c r="H259" s="220"/>
      <c r="I259" s="220"/>
      <c r="J259" s="220"/>
      <c r="K259" s="4" t="s">
        <v>391</v>
      </c>
      <c r="L259" s="19" t="s">
        <v>420</v>
      </c>
      <c r="M259" s="235"/>
      <c r="N259" s="243"/>
    </row>
    <row r="260" spans="1:14" x14ac:dyDescent="0.25">
      <c r="A260" s="229"/>
      <c r="B260" s="235"/>
      <c r="C260" s="235"/>
      <c r="D260" s="232"/>
      <c r="E260" s="232"/>
      <c r="F260" s="235"/>
      <c r="G260" s="235"/>
      <c r="H260" s="220"/>
      <c r="I260" s="220"/>
      <c r="J260" s="220"/>
      <c r="K260" s="4" t="s">
        <v>394</v>
      </c>
      <c r="L260" s="19">
        <v>20</v>
      </c>
      <c r="M260" s="235"/>
      <c r="N260" s="243"/>
    </row>
    <row r="261" spans="1:14" x14ac:dyDescent="0.25">
      <c r="A261" s="229"/>
      <c r="B261" s="235"/>
      <c r="C261" s="235"/>
      <c r="D261" s="232"/>
      <c r="E261" s="232"/>
      <c r="F261" s="235"/>
      <c r="G261" s="235"/>
      <c r="H261" s="220"/>
      <c r="I261" s="220"/>
      <c r="J261" s="220"/>
      <c r="K261" s="4" t="s">
        <v>278</v>
      </c>
      <c r="L261" s="19" t="s">
        <v>267</v>
      </c>
      <c r="M261" s="235"/>
      <c r="N261" s="243"/>
    </row>
    <row r="262" spans="1:14" ht="15.6" thickBot="1" x14ac:dyDescent="0.3">
      <c r="A262" s="230"/>
      <c r="B262" s="236"/>
      <c r="C262" s="236"/>
      <c r="D262" s="233"/>
      <c r="E262" s="233"/>
      <c r="F262" s="236"/>
      <c r="G262" s="236"/>
      <c r="H262" s="246"/>
      <c r="I262" s="246"/>
      <c r="J262" s="246"/>
      <c r="K262" s="72" t="s">
        <v>404</v>
      </c>
      <c r="L262" s="73" t="s">
        <v>299</v>
      </c>
      <c r="M262" s="236"/>
      <c r="N262" s="244"/>
    </row>
    <row r="263" spans="1:14" ht="15.6" thickBot="1" x14ac:dyDescent="0.3"/>
    <row r="264" spans="1:14" ht="15" customHeight="1" thickBot="1" x14ac:dyDescent="0.3">
      <c r="A264" s="228" t="s">
        <v>950</v>
      </c>
      <c r="B264" s="234"/>
      <c r="C264" s="234" t="s">
        <v>728</v>
      </c>
      <c r="D264" s="231" t="s">
        <v>432</v>
      </c>
      <c r="E264" s="231" t="s">
        <v>952</v>
      </c>
      <c r="F264" s="234" t="s">
        <v>928</v>
      </c>
      <c r="G264" s="234" t="s">
        <v>929</v>
      </c>
      <c r="H264" s="247" t="s">
        <v>995</v>
      </c>
      <c r="I264" s="247" t="s">
        <v>995</v>
      </c>
      <c r="J264" s="245" t="s">
        <v>984</v>
      </c>
      <c r="K264" s="69" t="s">
        <v>442</v>
      </c>
      <c r="L264" s="68" t="s">
        <v>91</v>
      </c>
      <c r="M264" s="234" t="s">
        <v>720</v>
      </c>
      <c r="N264" s="242" t="s">
        <v>731</v>
      </c>
    </row>
    <row r="265" spans="1:14" x14ac:dyDescent="0.25">
      <c r="A265" s="229"/>
      <c r="B265" s="235"/>
      <c r="C265" s="235"/>
      <c r="D265" s="232"/>
      <c r="E265" s="232"/>
      <c r="F265" s="235"/>
      <c r="G265" s="235"/>
      <c r="H265" s="220"/>
      <c r="I265" s="220"/>
      <c r="J265" s="220"/>
      <c r="K265" s="4" t="s">
        <v>441</v>
      </c>
      <c r="L265" s="35">
        <v>46213</v>
      </c>
      <c r="M265" s="235"/>
      <c r="N265" s="243"/>
    </row>
    <row r="266" spans="1:14" x14ac:dyDescent="0.25">
      <c r="A266" s="229"/>
      <c r="B266" s="235"/>
      <c r="C266" s="235"/>
      <c r="D266" s="232"/>
      <c r="E266" s="232"/>
      <c r="F266" s="235"/>
      <c r="G266" s="235"/>
      <c r="H266" s="220"/>
      <c r="I266" s="220"/>
      <c r="J266" s="220"/>
      <c r="K266" s="4" t="s">
        <v>433</v>
      </c>
      <c r="L266" s="14" t="s">
        <v>443</v>
      </c>
      <c r="M266" s="235"/>
      <c r="N266" s="243"/>
    </row>
    <row r="267" spans="1:14" x14ac:dyDescent="0.25">
      <c r="A267" s="229"/>
      <c r="B267" s="235"/>
      <c r="C267" s="235"/>
      <c r="D267" s="232"/>
      <c r="E267" s="232"/>
      <c r="F267" s="235"/>
      <c r="G267" s="235"/>
      <c r="H267" s="220"/>
      <c r="I267" s="220"/>
      <c r="J267" s="220"/>
      <c r="K267" s="4" t="s">
        <v>454</v>
      </c>
      <c r="L267" s="14" t="s">
        <v>455</v>
      </c>
      <c r="M267" s="235"/>
      <c r="N267" s="243"/>
    </row>
    <row r="268" spans="1:14" x14ac:dyDescent="0.25">
      <c r="A268" s="229"/>
      <c r="B268" s="235"/>
      <c r="C268" s="235"/>
      <c r="D268" s="232"/>
      <c r="E268" s="232"/>
      <c r="F268" s="235"/>
      <c r="G268" s="235"/>
      <c r="H268" s="220"/>
      <c r="I268" s="220"/>
      <c r="J268" s="220"/>
      <c r="K268" s="4" t="s">
        <v>438</v>
      </c>
      <c r="L268" s="14">
        <v>500</v>
      </c>
      <c r="M268" s="235"/>
      <c r="N268" s="243"/>
    </row>
    <row r="269" spans="1:14" x14ac:dyDescent="0.25">
      <c r="A269" s="229"/>
      <c r="B269" s="235"/>
      <c r="C269" s="235"/>
      <c r="D269" s="232"/>
      <c r="E269" s="232"/>
      <c r="F269" s="235"/>
      <c r="G269" s="235"/>
      <c r="H269" s="220"/>
      <c r="I269" s="220"/>
      <c r="J269" s="220"/>
      <c r="K269" s="4" t="s">
        <v>437</v>
      </c>
      <c r="L269" s="14">
        <v>20</v>
      </c>
      <c r="M269" s="235"/>
      <c r="N269" s="243"/>
    </row>
    <row r="270" spans="1:14" x14ac:dyDescent="0.25">
      <c r="A270" s="229"/>
      <c r="B270" s="235"/>
      <c r="C270" s="235"/>
      <c r="D270" s="232"/>
      <c r="E270" s="232"/>
      <c r="F270" s="235"/>
      <c r="G270" s="235"/>
      <c r="H270" s="220"/>
      <c r="I270" s="220"/>
      <c r="J270" s="220"/>
      <c r="K270" s="4" t="s">
        <v>439</v>
      </c>
      <c r="L270" s="19" t="s">
        <v>267</v>
      </c>
      <c r="M270" s="235"/>
      <c r="N270" s="243"/>
    </row>
    <row r="271" spans="1:14" ht="15.6" thickBot="1" x14ac:dyDescent="0.3">
      <c r="A271" s="230"/>
      <c r="B271" s="236"/>
      <c r="C271" s="236"/>
      <c r="D271" s="233"/>
      <c r="E271" s="233"/>
      <c r="F271" s="236"/>
      <c r="G271" s="236"/>
      <c r="H271" s="246"/>
      <c r="I271" s="246"/>
      <c r="J271" s="246"/>
      <c r="K271" s="72" t="s">
        <v>440</v>
      </c>
      <c r="L271" s="73" t="s">
        <v>299</v>
      </c>
      <c r="M271" s="236"/>
      <c r="N271" s="244"/>
    </row>
    <row r="272" spans="1:14" ht="15.6" thickBot="1" x14ac:dyDescent="0.3"/>
    <row r="273" spans="1:14" ht="15" customHeight="1" thickBot="1" x14ac:dyDescent="0.3">
      <c r="A273" s="228" t="s">
        <v>951</v>
      </c>
      <c r="B273" s="234"/>
      <c r="C273" s="234" t="s">
        <v>728</v>
      </c>
      <c r="D273" s="231" t="s">
        <v>432</v>
      </c>
      <c r="E273" s="231" t="s">
        <v>952</v>
      </c>
      <c r="F273" s="234" t="s">
        <v>928</v>
      </c>
      <c r="G273" s="234" t="s">
        <v>929</v>
      </c>
      <c r="H273" s="247" t="s">
        <v>995</v>
      </c>
      <c r="I273" s="247" t="s">
        <v>995</v>
      </c>
      <c r="J273" s="245" t="s">
        <v>985</v>
      </c>
      <c r="K273" s="69" t="s">
        <v>442</v>
      </c>
      <c r="L273" s="68" t="s">
        <v>139</v>
      </c>
      <c r="M273" s="234" t="s">
        <v>720</v>
      </c>
      <c r="N273" s="242" t="s">
        <v>731</v>
      </c>
    </row>
    <row r="274" spans="1:14" x14ac:dyDescent="0.25">
      <c r="A274" s="229"/>
      <c r="B274" s="235"/>
      <c r="C274" s="235"/>
      <c r="D274" s="232"/>
      <c r="E274" s="232"/>
      <c r="F274" s="235"/>
      <c r="G274" s="235"/>
      <c r="H274" s="220"/>
      <c r="I274" s="220"/>
      <c r="J274" s="220"/>
      <c r="K274" s="4" t="s">
        <v>441</v>
      </c>
      <c r="L274" s="35">
        <v>46213</v>
      </c>
      <c r="M274" s="235"/>
      <c r="N274" s="243"/>
    </row>
    <row r="275" spans="1:14" x14ac:dyDescent="0.25">
      <c r="A275" s="229"/>
      <c r="B275" s="235"/>
      <c r="C275" s="235"/>
      <c r="D275" s="232"/>
      <c r="E275" s="232"/>
      <c r="F275" s="235"/>
      <c r="G275" s="235"/>
      <c r="H275" s="220"/>
      <c r="I275" s="220"/>
      <c r="J275" s="220"/>
      <c r="K275" s="4" t="s">
        <v>433</v>
      </c>
      <c r="L275" s="14" t="s">
        <v>443</v>
      </c>
      <c r="M275" s="235"/>
      <c r="N275" s="243"/>
    </row>
    <row r="276" spans="1:14" x14ac:dyDescent="0.25">
      <c r="A276" s="229"/>
      <c r="B276" s="235"/>
      <c r="C276" s="235"/>
      <c r="D276" s="232"/>
      <c r="E276" s="232"/>
      <c r="F276" s="235"/>
      <c r="G276" s="235"/>
      <c r="H276" s="220"/>
      <c r="I276" s="220"/>
      <c r="J276" s="220"/>
      <c r="K276" s="4" t="s">
        <v>438</v>
      </c>
      <c r="L276" s="14">
        <v>500</v>
      </c>
      <c r="M276" s="235"/>
      <c r="N276" s="243"/>
    </row>
    <row r="277" spans="1:14" x14ac:dyDescent="0.25">
      <c r="A277" s="229"/>
      <c r="B277" s="235"/>
      <c r="C277" s="235"/>
      <c r="D277" s="232"/>
      <c r="E277" s="232"/>
      <c r="F277" s="235"/>
      <c r="G277" s="235"/>
      <c r="H277" s="220"/>
      <c r="I277" s="220"/>
      <c r="J277" s="220"/>
      <c r="K277" s="4" t="s">
        <v>437</v>
      </c>
      <c r="L277" s="14">
        <v>0</v>
      </c>
      <c r="M277" s="235"/>
      <c r="N277" s="243"/>
    </row>
    <row r="278" spans="1:14" x14ac:dyDescent="0.25">
      <c r="A278" s="229"/>
      <c r="B278" s="235"/>
      <c r="C278" s="235"/>
      <c r="D278" s="232"/>
      <c r="E278" s="232"/>
      <c r="F278" s="235"/>
      <c r="G278" s="235"/>
      <c r="H278" s="220"/>
      <c r="I278" s="220"/>
      <c r="J278" s="220"/>
      <c r="K278" s="4" t="s">
        <v>468</v>
      </c>
      <c r="L278" s="19">
        <v>2000</v>
      </c>
      <c r="M278" s="235"/>
      <c r="N278" s="243"/>
    </row>
    <row r="279" spans="1:14" ht="15.6" thickBot="1" x14ac:dyDescent="0.3">
      <c r="A279" s="230"/>
      <c r="B279" s="236"/>
      <c r="C279" s="236"/>
      <c r="D279" s="233"/>
      <c r="E279" s="233"/>
      <c r="F279" s="236"/>
      <c r="G279" s="236"/>
      <c r="H279" s="246"/>
      <c r="I279" s="246"/>
      <c r="J279" s="246"/>
      <c r="K279" s="72" t="s">
        <v>440</v>
      </c>
      <c r="L279" s="73" t="s">
        <v>299</v>
      </c>
      <c r="M279" s="236"/>
      <c r="N279" s="244"/>
    </row>
    <row r="280" spans="1:14" ht="15.6" thickBot="1" x14ac:dyDescent="0.3"/>
    <row r="281" spans="1:14" ht="15" customHeight="1" thickBot="1" x14ac:dyDescent="0.3">
      <c r="A281" s="228" t="s">
        <v>953</v>
      </c>
      <c r="B281" s="234"/>
      <c r="C281" s="234" t="s">
        <v>728</v>
      </c>
      <c r="D281" s="231" t="s">
        <v>480</v>
      </c>
      <c r="E281" s="231" t="s">
        <v>482</v>
      </c>
      <c r="F281" s="234" t="s">
        <v>928</v>
      </c>
      <c r="G281" s="234" t="s">
        <v>929</v>
      </c>
      <c r="H281" s="247" t="s">
        <v>995</v>
      </c>
      <c r="I281" s="247" t="s">
        <v>995</v>
      </c>
      <c r="J281" s="245" t="s">
        <v>986</v>
      </c>
      <c r="K281" s="99" t="s">
        <v>503</v>
      </c>
      <c r="L281" s="68" t="s">
        <v>489</v>
      </c>
      <c r="M281" s="234" t="s">
        <v>720</v>
      </c>
      <c r="N281" s="242" t="s">
        <v>731</v>
      </c>
    </row>
    <row r="282" spans="1:14" x14ac:dyDescent="0.25">
      <c r="A282" s="229"/>
      <c r="B282" s="235"/>
      <c r="C282" s="235"/>
      <c r="D282" s="232"/>
      <c r="E282" s="232"/>
      <c r="F282" s="235"/>
      <c r="G282" s="235"/>
      <c r="H282" s="220"/>
      <c r="I282" s="220"/>
      <c r="J282" s="220"/>
      <c r="K282" s="96" t="s">
        <v>601</v>
      </c>
      <c r="L282" s="35" t="s">
        <v>524</v>
      </c>
      <c r="M282" s="235"/>
      <c r="N282" s="243"/>
    </row>
    <row r="283" spans="1:14" x14ac:dyDescent="0.25">
      <c r="A283" s="229"/>
      <c r="B283" s="235"/>
      <c r="C283" s="235"/>
      <c r="D283" s="232"/>
      <c r="E283" s="232"/>
      <c r="F283" s="235"/>
      <c r="G283" s="235"/>
      <c r="H283" s="220"/>
      <c r="I283" s="220"/>
      <c r="J283" s="220"/>
      <c r="K283" s="96" t="s">
        <v>505</v>
      </c>
      <c r="L283" s="14" t="s">
        <v>506</v>
      </c>
      <c r="M283" s="235"/>
      <c r="N283" s="243"/>
    </row>
    <row r="284" spans="1:14" x14ac:dyDescent="0.25">
      <c r="A284" s="229"/>
      <c r="B284" s="235"/>
      <c r="C284" s="235"/>
      <c r="D284" s="232"/>
      <c r="E284" s="232"/>
      <c r="F284" s="235"/>
      <c r="G284" s="235"/>
      <c r="H284" s="220"/>
      <c r="I284" s="220"/>
      <c r="J284" s="220"/>
      <c r="K284" s="101" t="s">
        <v>619</v>
      </c>
      <c r="L284" s="20" t="s">
        <v>620</v>
      </c>
      <c r="M284" s="235"/>
      <c r="N284" s="243"/>
    </row>
    <row r="285" spans="1:14" x14ac:dyDescent="0.25">
      <c r="A285" s="229"/>
      <c r="B285" s="235"/>
      <c r="C285" s="235"/>
      <c r="D285" s="232"/>
      <c r="E285" s="232"/>
      <c r="F285" s="235"/>
      <c r="G285" s="235"/>
      <c r="H285" s="220"/>
      <c r="I285" s="220"/>
      <c r="J285" s="220"/>
      <c r="K285" s="96" t="s">
        <v>510</v>
      </c>
      <c r="L285" s="14" t="s">
        <v>172</v>
      </c>
      <c r="M285" s="235"/>
      <c r="N285" s="243"/>
    </row>
    <row r="286" spans="1:14" x14ac:dyDescent="0.25">
      <c r="A286" s="229"/>
      <c r="B286" s="235"/>
      <c r="C286" s="235"/>
      <c r="D286" s="232"/>
      <c r="E286" s="232"/>
      <c r="F286" s="235"/>
      <c r="G286" s="235"/>
      <c r="H286" s="220"/>
      <c r="I286" s="220"/>
      <c r="J286" s="220"/>
      <c r="K286" s="96" t="s">
        <v>512</v>
      </c>
      <c r="L286" s="19" t="s">
        <v>299</v>
      </c>
      <c r="M286" s="235"/>
      <c r="N286" s="243"/>
    </row>
    <row r="287" spans="1:14" x14ac:dyDescent="0.25">
      <c r="A287" s="229"/>
      <c r="B287" s="235"/>
      <c r="C287" s="235"/>
      <c r="D287" s="232"/>
      <c r="E287" s="232"/>
      <c r="F287" s="235"/>
      <c r="G287" s="235"/>
      <c r="H287" s="220"/>
      <c r="I287" s="220"/>
      <c r="J287" s="220"/>
      <c r="K287" s="96" t="s">
        <v>515</v>
      </c>
      <c r="L287" s="14" t="s">
        <v>169</v>
      </c>
      <c r="M287" s="235"/>
      <c r="N287" s="243"/>
    </row>
    <row r="288" spans="1:14" x14ac:dyDescent="0.25">
      <c r="A288" s="229"/>
      <c r="B288" s="235"/>
      <c r="C288" s="235"/>
      <c r="D288" s="232"/>
      <c r="E288" s="232"/>
      <c r="F288" s="235"/>
      <c r="G288" s="235"/>
      <c r="H288" s="220"/>
      <c r="I288" s="220"/>
      <c r="J288" s="220"/>
      <c r="K288" s="96" t="s">
        <v>518</v>
      </c>
      <c r="L288" s="14">
        <v>1</v>
      </c>
      <c r="M288" s="235"/>
      <c r="N288" s="243"/>
    </row>
    <row r="289" spans="1:14" x14ac:dyDescent="0.25">
      <c r="A289" s="229"/>
      <c r="B289" s="235"/>
      <c r="C289" s="235"/>
      <c r="D289" s="232"/>
      <c r="E289" s="232"/>
      <c r="F289" s="235"/>
      <c r="G289" s="235"/>
      <c r="H289" s="220"/>
      <c r="I289" s="220"/>
      <c r="J289" s="220"/>
      <c r="K289" s="96" t="s">
        <v>533</v>
      </c>
      <c r="L289" s="14" t="s">
        <v>534</v>
      </c>
      <c r="M289" s="235"/>
      <c r="N289" s="243"/>
    </row>
    <row r="290" spans="1:14" x14ac:dyDescent="0.25">
      <c r="A290" s="229"/>
      <c r="B290" s="235"/>
      <c r="C290" s="235"/>
      <c r="D290" s="232"/>
      <c r="E290" s="232"/>
      <c r="F290" s="235"/>
      <c r="G290" s="235"/>
      <c r="H290" s="220"/>
      <c r="I290" s="220"/>
      <c r="J290" s="220"/>
      <c r="K290" s="96" t="s">
        <v>519</v>
      </c>
      <c r="L290" s="14">
        <v>56098</v>
      </c>
      <c r="M290" s="235"/>
      <c r="N290" s="243"/>
    </row>
    <row r="291" spans="1:14" x14ac:dyDescent="0.25">
      <c r="A291" s="229"/>
      <c r="B291" s="235"/>
      <c r="C291" s="235"/>
      <c r="D291" s="232"/>
      <c r="E291" s="232"/>
      <c r="F291" s="235"/>
      <c r="G291" s="235"/>
      <c r="H291" s="220"/>
      <c r="I291" s="220"/>
      <c r="J291" s="220"/>
      <c r="K291" s="96" t="s">
        <v>83</v>
      </c>
      <c r="L291" s="19" t="s">
        <v>267</v>
      </c>
      <c r="M291" s="235"/>
      <c r="N291" s="243"/>
    </row>
    <row r="292" spans="1:14" ht="15.6" thickBot="1" x14ac:dyDescent="0.3">
      <c r="A292" s="230"/>
      <c r="B292" s="236"/>
      <c r="C292" s="236"/>
      <c r="D292" s="233"/>
      <c r="E292" s="233"/>
      <c r="F292" s="236"/>
      <c r="G292" s="236"/>
      <c r="H292" s="246"/>
      <c r="I292" s="246"/>
      <c r="J292" s="246"/>
      <c r="K292" s="100" t="s">
        <v>520</v>
      </c>
      <c r="L292" s="73" t="s">
        <v>267</v>
      </c>
      <c r="M292" s="236"/>
      <c r="N292" s="244"/>
    </row>
    <row r="293" spans="1:14" ht="15.6" thickBot="1" x14ac:dyDescent="0.3"/>
    <row r="294" spans="1:14" ht="15" customHeight="1" thickBot="1" x14ac:dyDescent="0.3">
      <c r="A294" s="228" t="s">
        <v>954</v>
      </c>
      <c r="B294" s="234"/>
      <c r="C294" s="234" t="s">
        <v>728</v>
      </c>
      <c r="D294" s="231" t="s">
        <v>480</v>
      </c>
      <c r="E294" s="231" t="s">
        <v>482</v>
      </c>
      <c r="F294" s="234" t="s">
        <v>928</v>
      </c>
      <c r="G294" s="234" t="s">
        <v>929</v>
      </c>
      <c r="H294" s="247" t="s">
        <v>994</v>
      </c>
      <c r="I294" s="247" t="s">
        <v>994</v>
      </c>
      <c r="J294" s="245" t="s">
        <v>987</v>
      </c>
      <c r="K294" s="99" t="s">
        <v>503</v>
      </c>
      <c r="L294" s="68" t="s">
        <v>489</v>
      </c>
      <c r="M294" s="234" t="s">
        <v>720</v>
      </c>
      <c r="N294" s="242" t="s">
        <v>731</v>
      </c>
    </row>
    <row r="295" spans="1:14" x14ac:dyDescent="0.25">
      <c r="A295" s="229"/>
      <c r="B295" s="235"/>
      <c r="C295" s="235"/>
      <c r="D295" s="232"/>
      <c r="E295" s="232"/>
      <c r="F295" s="235"/>
      <c r="G295" s="235"/>
      <c r="H295" s="220"/>
      <c r="I295" s="220"/>
      <c r="J295" s="220"/>
      <c r="K295" s="96" t="s">
        <v>601</v>
      </c>
      <c r="L295" s="35">
        <v>46347</v>
      </c>
      <c r="M295" s="235"/>
      <c r="N295" s="243"/>
    </row>
    <row r="296" spans="1:14" x14ac:dyDescent="0.25">
      <c r="A296" s="229"/>
      <c r="B296" s="235"/>
      <c r="C296" s="235"/>
      <c r="D296" s="232"/>
      <c r="E296" s="232"/>
      <c r="F296" s="235"/>
      <c r="G296" s="235"/>
      <c r="H296" s="220"/>
      <c r="I296" s="220"/>
      <c r="J296" s="220"/>
      <c r="K296" s="96" t="s">
        <v>505</v>
      </c>
      <c r="L296" s="14" t="s">
        <v>506</v>
      </c>
      <c r="M296" s="235"/>
      <c r="N296" s="243"/>
    </row>
    <row r="297" spans="1:14" x14ac:dyDescent="0.25">
      <c r="A297" s="229"/>
      <c r="B297" s="235"/>
      <c r="C297" s="235"/>
      <c r="D297" s="232"/>
      <c r="E297" s="232"/>
      <c r="F297" s="235"/>
      <c r="G297" s="235"/>
      <c r="H297" s="220"/>
      <c r="I297" s="220"/>
      <c r="J297" s="220"/>
      <c r="K297" s="101" t="s">
        <v>619</v>
      </c>
      <c r="L297" s="20" t="s">
        <v>620</v>
      </c>
      <c r="M297" s="235"/>
      <c r="N297" s="243"/>
    </row>
    <row r="298" spans="1:14" x14ac:dyDescent="0.25">
      <c r="A298" s="229"/>
      <c r="B298" s="235"/>
      <c r="C298" s="235"/>
      <c r="D298" s="232"/>
      <c r="E298" s="232"/>
      <c r="F298" s="235"/>
      <c r="G298" s="235"/>
      <c r="H298" s="220"/>
      <c r="I298" s="220"/>
      <c r="J298" s="220"/>
      <c r="K298" s="96" t="s">
        <v>510</v>
      </c>
      <c r="L298" s="14" t="s">
        <v>173</v>
      </c>
      <c r="M298" s="235"/>
      <c r="N298" s="243"/>
    </row>
    <row r="299" spans="1:14" x14ac:dyDescent="0.25">
      <c r="A299" s="229"/>
      <c r="B299" s="235"/>
      <c r="C299" s="235"/>
      <c r="D299" s="232"/>
      <c r="E299" s="232"/>
      <c r="F299" s="235"/>
      <c r="G299" s="235"/>
      <c r="H299" s="220"/>
      <c r="I299" s="220"/>
      <c r="J299" s="220"/>
      <c r="K299" s="96" t="s">
        <v>512</v>
      </c>
      <c r="L299" s="19" t="s">
        <v>299</v>
      </c>
      <c r="M299" s="235"/>
      <c r="N299" s="243"/>
    </row>
    <row r="300" spans="1:14" x14ac:dyDescent="0.25">
      <c r="A300" s="229"/>
      <c r="B300" s="235"/>
      <c r="C300" s="235"/>
      <c r="D300" s="232"/>
      <c r="E300" s="232"/>
      <c r="F300" s="235"/>
      <c r="G300" s="235"/>
      <c r="H300" s="220"/>
      <c r="I300" s="220"/>
      <c r="J300" s="220"/>
      <c r="K300" s="96" t="s">
        <v>515</v>
      </c>
      <c r="L300" s="14" t="s">
        <v>167</v>
      </c>
      <c r="M300" s="235"/>
      <c r="N300" s="243"/>
    </row>
    <row r="301" spans="1:14" x14ac:dyDescent="0.25">
      <c r="A301" s="229"/>
      <c r="B301" s="235"/>
      <c r="C301" s="235"/>
      <c r="D301" s="232"/>
      <c r="E301" s="232"/>
      <c r="F301" s="235"/>
      <c r="G301" s="235"/>
      <c r="H301" s="220"/>
      <c r="I301" s="220"/>
      <c r="J301" s="220"/>
      <c r="K301" s="96" t="s">
        <v>518</v>
      </c>
      <c r="L301" s="14">
        <v>5</v>
      </c>
      <c r="M301" s="235"/>
      <c r="N301" s="243"/>
    </row>
    <row r="302" spans="1:14" x14ac:dyDescent="0.25">
      <c r="A302" s="229"/>
      <c r="B302" s="235"/>
      <c r="C302" s="235"/>
      <c r="D302" s="232"/>
      <c r="E302" s="232"/>
      <c r="F302" s="235"/>
      <c r="G302" s="235"/>
      <c r="H302" s="220"/>
      <c r="I302" s="220"/>
      <c r="J302" s="220"/>
      <c r="K302" s="101" t="s">
        <v>533</v>
      </c>
      <c r="L302" s="20" t="s">
        <v>535</v>
      </c>
      <c r="M302" s="235"/>
      <c r="N302" s="243"/>
    </row>
    <row r="303" spans="1:14" x14ac:dyDescent="0.25">
      <c r="A303" s="229"/>
      <c r="B303" s="235"/>
      <c r="C303" s="235"/>
      <c r="D303" s="232"/>
      <c r="E303" s="232"/>
      <c r="F303" s="235"/>
      <c r="G303" s="235"/>
      <c r="H303" s="220"/>
      <c r="I303" s="220"/>
      <c r="J303" s="220"/>
      <c r="K303" s="96" t="s">
        <v>519</v>
      </c>
      <c r="L303" s="14">
        <v>989</v>
      </c>
      <c r="M303" s="235"/>
      <c r="N303" s="243"/>
    </row>
    <row r="304" spans="1:14" x14ac:dyDescent="0.25">
      <c r="A304" s="229"/>
      <c r="B304" s="235"/>
      <c r="C304" s="235"/>
      <c r="D304" s="232"/>
      <c r="E304" s="232"/>
      <c r="F304" s="235"/>
      <c r="G304" s="235"/>
      <c r="H304" s="220"/>
      <c r="I304" s="220"/>
      <c r="J304" s="220"/>
      <c r="K304" s="96" t="s">
        <v>83</v>
      </c>
      <c r="L304" s="19" t="s">
        <v>267</v>
      </c>
      <c r="M304" s="235"/>
      <c r="N304" s="243"/>
    </row>
    <row r="305" spans="1:14" ht="15.6" thickBot="1" x14ac:dyDescent="0.3">
      <c r="A305" s="230"/>
      <c r="B305" s="236"/>
      <c r="C305" s="236"/>
      <c r="D305" s="233"/>
      <c r="E305" s="233"/>
      <c r="F305" s="236"/>
      <c r="G305" s="236"/>
      <c r="H305" s="246"/>
      <c r="I305" s="246"/>
      <c r="J305" s="246"/>
      <c r="K305" s="100" t="s">
        <v>520</v>
      </c>
      <c r="L305" s="73" t="s">
        <v>267</v>
      </c>
      <c r="M305" s="236"/>
      <c r="N305" s="244"/>
    </row>
    <row r="306" spans="1:14" ht="15.6" thickBot="1" x14ac:dyDescent="0.3"/>
    <row r="307" spans="1:14" ht="15" customHeight="1" thickBot="1" x14ac:dyDescent="0.3">
      <c r="A307" s="228" t="s">
        <v>955</v>
      </c>
      <c r="B307" s="234"/>
      <c r="C307" s="234" t="s">
        <v>728</v>
      </c>
      <c r="D307" s="231" t="s">
        <v>480</v>
      </c>
      <c r="E307" s="231" t="s">
        <v>482</v>
      </c>
      <c r="F307" s="234" t="s">
        <v>928</v>
      </c>
      <c r="G307" s="234" t="s">
        <v>929</v>
      </c>
      <c r="H307" s="247" t="s">
        <v>995</v>
      </c>
      <c r="I307" s="247" t="s">
        <v>995</v>
      </c>
      <c r="J307" s="245" t="s">
        <v>988</v>
      </c>
      <c r="K307" s="134" t="s">
        <v>503</v>
      </c>
      <c r="L307" s="132" t="s">
        <v>487</v>
      </c>
      <c r="M307" s="234" t="s">
        <v>720</v>
      </c>
      <c r="N307" s="242" t="s">
        <v>731</v>
      </c>
    </row>
    <row r="308" spans="1:14" x14ac:dyDescent="0.25">
      <c r="A308" s="229"/>
      <c r="B308" s="235"/>
      <c r="C308" s="235"/>
      <c r="D308" s="232"/>
      <c r="E308" s="232"/>
      <c r="F308" s="235"/>
      <c r="G308" s="235"/>
      <c r="H308" s="220"/>
      <c r="I308" s="220"/>
      <c r="J308" s="220"/>
      <c r="K308" s="101" t="s">
        <v>601</v>
      </c>
      <c r="L308" s="130">
        <v>46341</v>
      </c>
      <c r="M308" s="235"/>
      <c r="N308" s="243"/>
    </row>
    <row r="309" spans="1:14" x14ac:dyDescent="0.25">
      <c r="A309" s="229"/>
      <c r="B309" s="235"/>
      <c r="C309" s="235"/>
      <c r="D309" s="232"/>
      <c r="E309" s="232"/>
      <c r="F309" s="235"/>
      <c r="G309" s="235"/>
      <c r="H309" s="220"/>
      <c r="I309" s="220"/>
      <c r="J309" s="220"/>
      <c r="K309" s="101" t="s">
        <v>505</v>
      </c>
      <c r="L309" s="20" t="s">
        <v>506</v>
      </c>
      <c r="M309" s="235"/>
      <c r="N309" s="243"/>
    </row>
    <row r="310" spans="1:14" x14ac:dyDescent="0.25">
      <c r="A310" s="229"/>
      <c r="B310" s="235"/>
      <c r="C310" s="235"/>
      <c r="D310" s="232"/>
      <c r="E310" s="232"/>
      <c r="F310" s="235"/>
      <c r="G310" s="235"/>
      <c r="H310" s="220"/>
      <c r="I310" s="220"/>
      <c r="J310" s="220"/>
      <c r="K310" s="101" t="s">
        <v>619</v>
      </c>
      <c r="L310" s="20" t="s">
        <v>620</v>
      </c>
      <c r="M310" s="235"/>
      <c r="N310" s="243"/>
    </row>
    <row r="311" spans="1:14" x14ac:dyDescent="0.25">
      <c r="A311" s="229"/>
      <c r="B311" s="235"/>
      <c r="C311" s="235"/>
      <c r="D311" s="232"/>
      <c r="E311" s="232"/>
      <c r="F311" s="235"/>
      <c r="G311" s="235"/>
      <c r="H311" s="220"/>
      <c r="I311" s="220"/>
      <c r="J311" s="220"/>
      <c r="K311" s="101" t="s">
        <v>510</v>
      </c>
      <c r="L311" s="20" t="s">
        <v>174</v>
      </c>
      <c r="M311" s="235"/>
      <c r="N311" s="243"/>
    </row>
    <row r="312" spans="1:14" x14ac:dyDescent="0.25">
      <c r="A312" s="229"/>
      <c r="B312" s="235"/>
      <c r="C312" s="235"/>
      <c r="D312" s="232"/>
      <c r="E312" s="232"/>
      <c r="F312" s="235"/>
      <c r="G312" s="235"/>
      <c r="H312" s="220"/>
      <c r="I312" s="220"/>
      <c r="J312" s="220"/>
      <c r="K312" s="101" t="s">
        <v>512</v>
      </c>
      <c r="L312" s="20" t="s">
        <v>299</v>
      </c>
      <c r="M312" s="235"/>
      <c r="N312" s="243"/>
    </row>
    <row r="313" spans="1:14" x14ac:dyDescent="0.25">
      <c r="A313" s="229"/>
      <c r="B313" s="235"/>
      <c r="C313" s="235"/>
      <c r="D313" s="232"/>
      <c r="E313" s="232"/>
      <c r="F313" s="235"/>
      <c r="G313" s="235"/>
      <c r="H313" s="220"/>
      <c r="I313" s="220"/>
      <c r="J313" s="220"/>
      <c r="K313" s="101" t="s">
        <v>515</v>
      </c>
      <c r="L313" s="20" t="s">
        <v>166</v>
      </c>
      <c r="M313" s="235"/>
      <c r="N313" s="243"/>
    </row>
    <row r="314" spans="1:14" x14ac:dyDescent="0.25">
      <c r="A314" s="229"/>
      <c r="B314" s="235"/>
      <c r="C314" s="235"/>
      <c r="D314" s="232"/>
      <c r="E314" s="232"/>
      <c r="F314" s="235"/>
      <c r="G314" s="235"/>
      <c r="H314" s="220"/>
      <c r="I314" s="220"/>
      <c r="J314" s="220"/>
      <c r="K314" s="101" t="s">
        <v>518</v>
      </c>
      <c r="L314" s="20" t="s">
        <v>539</v>
      </c>
      <c r="M314" s="235"/>
      <c r="N314" s="243"/>
    </row>
    <row r="315" spans="1:14" x14ac:dyDescent="0.25">
      <c r="A315" s="229"/>
      <c r="B315" s="235"/>
      <c r="C315" s="235"/>
      <c r="D315" s="232"/>
      <c r="E315" s="232"/>
      <c r="F315" s="235"/>
      <c r="G315" s="235"/>
      <c r="H315" s="220"/>
      <c r="I315" s="220"/>
      <c r="J315" s="220"/>
      <c r="K315" s="101" t="s">
        <v>533</v>
      </c>
      <c r="L315" s="20" t="s">
        <v>534</v>
      </c>
      <c r="M315" s="235"/>
      <c r="N315" s="243"/>
    </row>
    <row r="316" spans="1:14" x14ac:dyDescent="0.25">
      <c r="A316" s="229"/>
      <c r="B316" s="235"/>
      <c r="C316" s="235"/>
      <c r="D316" s="232"/>
      <c r="E316" s="232"/>
      <c r="F316" s="235"/>
      <c r="G316" s="235"/>
      <c r="H316" s="220"/>
      <c r="I316" s="220"/>
      <c r="J316" s="220"/>
      <c r="K316" s="101" t="s">
        <v>519</v>
      </c>
      <c r="L316" s="20">
        <v>55</v>
      </c>
      <c r="M316" s="235"/>
      <c r="N316" s="243"/>
    </row>
    <row r="317" spans="1:14" x14ac:dyDescent="0.25">
      <c r="A317" s="229"/>
      <c r="B317" s="235"/>
      <c r="C317" s="235"/>
      <c r="D317" s="232"/>
      <c r="E317" s="232"/>
      <c r="F317" s="235"/>
      <c r="G317" s="235"/>
      <c r="H317" s="220"/>
      <c r="I317" s="220"/>
      <c r="J317" s="220"/>
      <c r="K317" s="101" t="s">
        <v>83</v>
      </c>
      <c r="L317" s="20" t="s">
        <v>267</v>
      </c>
      <c r="M317" s="235"/>
      <c r="N317" s="243"/>
    </row>
    <row r="318" spans="1:14" ht="15.6" thickBot="1" x14ac:dyDescent="0.3">
      <c r="A318" s="230"/>
      <c r="B318" s="236"/>
      <c r="C318" s="236"/>
      <c r="D318" s="233"/>
      <c r="E318" s="233"/>
      <c r="F318" s="236"/>
      <c r="G318" s="236"/>
      <c r="H318" s="246"/>
      <c r="I318" s="246"/>
      <c r="J318" s="246"/>
      <c r="K318" s="135" t="s">
        <v>520</v>
      </c>
      <c r="L318" s="106" t="s">
        <v>267</v>
      </c>
      <c r="M318" s="236"/>
      <c r="N318" s="244"/>
    </row>
    <row r="319" spans="1:14" ht="15.6" thickBot="1" x14ac:dyDescent="0.3"/>
    <row r="320" spans="1:14" ht="15" customHeight="1" thickBot="1" x14ac:dyDescent="0.3">
      <c r="A320" s="228" t="s">
        <v>956</v>
      </c>
      <c r="B320" s="234"/>
      <c r="C320" s="234" t="s">
        <v>728</v>
      </c>
      <c r="D320" s="231" t="s">
        <v>480</v>
      </c>
      <c r="E320" s="231" t="s">
        <v>482</v>
      </c>
      <c r="F320" s="234" t="s">
        <v>928</v>
      </c>
      <c r="G320" s="234" t="s">
        <v>929</v>
      </c>
      <c r="H320" s="247" t="s">
        <v>995</v>
      </c>
      <c r="I320" s="247" t="s">
        <v>994</v>
      </c>
      <c r="J320" s="245" t="s">
        <v>975</v>
      </c>
      <c r="K320" s="99" t="s">
        <v>503</v>
      </c>
      <c r="L320" s="68" t="s">
        <v>486</v>
      </c>
      <c r="M320" s="234" t="s">
        <v>720</v>
      </c>
      <c r="N320" s="242" t="s">
        <v>731</v>
      </c>
    </row>
    <row r="321" spans="1:14" x14ac:dyDescent="0.25">
      <c r="A321" s="229"/>
      <c r="B321" s="235"/>
      <c r="C321" s="235"/>
      <c r="D321" s="232"/>
      <c r="E321" s="232"/>
      <c r="F321" s="235"/>
      <c r="G321" s="235"/>
      <c r="H321" s="220"/>
      <c r="I321" s="220"/>
      <c r="J321" s="220"/>
      <c r="K321" s="96" t="s">
        <v>601</v>
      </c>
      <c r="L321" s="35">
        <v>46336</v>
      </c>
      <c r="M321" s="235"/>
      <c r="N321" s="243"/>
    </row>
    <row r="322" spans="1:14" x14ac:dyDescent="0.25">
      <c r="A322" s="229"/>
      <c r="B322" s="235"/>
      <c r="C322" s="235"/>
      <c r="D322" s="232"/>
      <c r="E322" s="232"/>
      <c r="F322" s="235"/>
      <c r="G322" s="235"/>
      <c r="H322" s="220"/>
      <c r="I322" s="220"/>
      <c r="J322" s="220"/>
      <c r="K322" s="96" t="s">
        <v>505</v>
      </c>
      <c r="L322" s="14" t="s">
        <v>506</v>
      </c>
      <c r="M322" s="235"/>
      <c r="N322" s="243"/>
    </row>
    <row r="323" spans="1:14" x14ac:dyDescent="0.25">
      <c r="A323" s="229"/>
      <c r="B323" s="235"/>
      <c r="C323" s="235"/>
      <c r="D323" s="232"/>
      <c r="E323" s="232"/>
      <c r="F323" s="235"/>
      <c r="G323" s="235"/>
      <c r="H323" s="220"/>
      <c r="I323" s="220"/>
      <c r="J323" s="220"/>
      <c r="K323" s="101" t="s">
        <v>619</v>
      </c>
      <c r="L323" s="20" t="s">
        <v>620</v>
      </c>
      <c r="M323" s="235"/>
      <c r="N323" s="243"/>
    </row>
    <row r="324" spans="1:14" x14ac:dyDescent="0.25">
      <c r="A324" s="229"/>
      <c r="B324" s="235"/>
      <c r="C324" s="235"/>
      <c r="D324" s="232"/>
      <c r="E324" s="232"/>
      <c r="F324" s="235"/>
      <c r="G324" s="235"/>
      <c r="H324" s="220"/>
      <c r="I324" s="220"/>
      <c r="J324" s="220"/>
      <c r="K324" s="96" t="s">
        <v>510</v>
      </c>
      <c r="L324" s="14" t="s">
        <v>174</v>
      </c>
      <c r="M324" s="235"/>
      <c r="N324" s="243"/>
    </row>
    <row r="325" spans="1:14" x14ac:dyDescent="0.25">
      <c r="A325" s="229"/>
      <c r="B325" s="235"/>
      <c r="C325" s="235"/>
      <c r="D325" s="232"/>
      <c r="E325" s="232"/>
      <c r="F325" s="235"/>
      <c r="G325" s="235"/>
      <c r="H325" s="220"/>
      <c r="I325" s="220"/>
      <c r="J325" s="220"/>
      <c r="K325" s="96" t="s">
        <v>512</v>
      </c>
      <c r="L325" s="19" t="s">
        <v>299</v>
      </c>
      <c r="M325" s="235"/>
      <c r="N325" s="243"/>
    </row>
    <row r="326" spans="1:14" x14ac:dyDescent="0.25">
      <c r="A326" s="229"/>
      <c r="B326" s="235"/>
      <c r="C326" s="235"/>
      <c r="D326" s="232"/>
      <c r="E326" s="232"/>
      <c r="F326" s="235"/>
      <c r="G326" s="235"/>
      <c r="H326" s="220"/>
      <c r="I326" s="220"/>
      <c r="J326" s="220"/>
      <c r="K326" s="96" t="s">
        <v>515</v>
      </c>
      <c r="L326" s="14" t="s">
        <v>165</v>
      </c>
      <c r="M326" s="235"/>
      <c r="N326" s="243"/>
    </row>
    <row r="327" spans="1:14" x14ac:dyDescent="0.25">
      <c r="A327" s="229"/>
      <c r="B327" s="235"/>
      <c r="C327" s="235"/>
      <c r="D327" s="232"/>
      <c r="E327" s="232"/>
      <c r="F327" s="235"/>
      <c r="G327" s="235"/>
      <c r="H327" s="220"/>
      <c r="I327" s="220"/>
      <c r="J327" s="220"/>
      <c r="K327" s="96" t="s">
        <v>518</v>
      </c>
      <c r="L327" s="14">
        <v>2</v>
      </c>
      <c r="M327" s="235"/>
      <c r="N327" s="243"/>
    </row>
    <row r="328" spans="1:14" x14ac:dyDescent="0.25">
      <c r="A328" s="229"/>
      <c r="B328" s="235"/>
      <c r="C328" s="235"/>
      <c r="D328" s="232"/>
      <c r="E328" s="232"/>
      <c r="F328" s="235"/>
      <c r="G328" s="235"/>
      <c r="H328" s="220"/>
      <c r="I328" s="220"/>
      <c r="J328" s="220"/>
      <c r="K328" s="96" t="s">
        <v>533</v>
      </c>
      <c r="L328" s="14" t="s">
        <v>534</v>
      </c>
      <c r="M328" s="235"/>
      <c r="N328" s="243"/>
    </row>
    <row r="329" spans="1:14" x14ac:dyDescent="0.25">
      <c r="A329" s="229"/>
      <c r="B329" s="235"/>
      <c r="C329" s="235"/>
      <c r="D329" s="232"/>
      <c r="E329" s="232"/>
      <c r="F329" s="235"/>
      <c r="G329" s="235"/>
      <c r="H329" s="220"/>
      <c r="I329" s="220"/>
      <c r="J329" s="220"/>
      <c r="K329" s="96" t="s">
        <v>519</v>
      </c>
      <c r="L329" s="14" t="s">
        <v>542</v>
      </c>
      <c r="M329" s="235"/>
      <c r="N329" s="243"/>
    </row>
    <row r="330" spans="1:14" x14ac:dyDescent="0.25">
      <c r="A330" s="229"/>
      <c r="B330" s="235"/>
      <c r="C330" s="235"/>
      <c r="D330" s="232"/>
      <c r="E330" s="232"/>
      <c r="F330" s="235"/>
      <c r="G330" s="235"/>
      <c r="H330" s="220"/>
      <c r="I330" s="220"/>
      <c r="J330" s="220"/>
      <c r="K330" s="96" t="s">
        <v>83</v>
      </c>
      <c r="L330" s="19" t="s">
        <v>267</v>
      </c>
      <c r="M330" s="235"/>
      <c r="N330" s="243"/>
    </row>
    <row r="331" spans="1:14" ht="15.6" thickBot="1" x14ac:dyDescent="0.3">
      <c r="A331" s="230"/>
      <c r="B331" s="236"/>
      <c r="C331" s="236"/>
      <c r="D331" s="233"/>
      <c r="E331" s="233"/>
      <c r="F331" s="236"/>
      <c r="G331" s="236"/>
      <c r="H331" s="246"/>
      <c r="I331" s="246"/>
      <c r="J331" s="246"/>
      <c r="K331" s="100" t="s">
        <v>520</v>
      </c>
      <c r="L331" s="73" t="s">
        <v>267</v>
      </c>
      <c r="M331" s="236"/>
      <c r="N331" s="244"/>
    </row>
    <row r="332" spans="1:14" ht="15.6" thickBot="1" x14ac:dyDescent="0.3"/>
    <row r="333" spans="1:14" ht="15" customHeight="1" thickBot="1" x14ac:dyDescent="0.3">
      <c r="A333" s="228" t="s">
        <v>957</v>
      </c>
      <c r="B333" s="234"/>
      <c r="C333" s="234" t="s">
        <v>728</v>
      </c>
      <c r="D333" s="231" t="s">
        <v>480</v>
      </c>
      <c r="E333" s="231" t="s">
        <v>482</v>
      </c>
      <c r="F333" s="234" t="s">
        <v>928</v>
      </c>
      <c r="G333" s="234" t="s">
        <v>929</v>
      </c>
      <c r="H333" s="247" t="s">
        <v>994</v>
      </c>
      <c r="I333" s="247" t="s">
        <v>994</v>
      </c>
      <c r="J333" s="245" t="s">
        <v>989</v>
      </c>
      <c r="K333" s="99" t="s">
        <v>503</v>
      </c>
      <c r="L333" s="68" t="s">
        <v>487</v>
      </c>
      <c r="M333" s="234" t="s">
        <v>720</v>
      </c>
      <c r="N333" s="242" t="s">
        <v>731</v>
      </c>
    </row>
    <row r="334" spans="1:14" x14ac:dyDescent="0.25">
      <c r="A334" s="229"/>
      <c r="B334" s="235"/>
      <c r="C334" s="235"/>
      <c r="D334" s="232"/>
      <c r="E334" s="232"/>
      <c r="F334" s="235"/>
      <c r="G334" s="235"/>
      <c r="H334" s="220"/>
      <c r="I334" s="220"/>
      <c r="J334" s="220"/>
      <c r="K334" s="96" t="s">
        <v>601</v>
      </c>
      <c r="L334" s="35">
        <v>46336</v>
      </c>
      <c r="M334" s="235"/>
      <c r="N334" s="243"/>
    </row>
    <row r="335" spans="1:14" x14ac:dyDescent="0.25">
      <c r="A335" s="229"/>
      <c r="B335" s="235"/>
      <c r="C335" s="235"/>
      <c r="D335" s="232"/>
      <c r="E335" s="232"/>
      <c r="F335" s="235"/>
      <c r="G335" s="235"/>
      <c r="H335" s="220"/>
      <c r="I335" s="220"/>
      <c r="J335" s="220"/>
      <c r="K335" s="96" t="s">
        <v>505</v>
      </c>
      <c r="L335" s="14" t="s">
        <v>506</v>
      </c>
      <c r="M335" s="235"/>
      <c r="N335" s="243"/>
    </row>
    <row r="336" spans="1:14" x14ac:dyDescent="0.25">
      <c r="A336" s="229"/>
      <c r="B336" s="235"/>
      <c r="C336" s="235"/>
      <c r="D336" s="232"/>
      <c r="E336" s="232"/>
      <c r="F336" s="235"/>
      <c r="G336" s="235"/>
      <c r="H336" s="220"/>
      <c r="I336" s="220"/>
      <c r="J336" s="220"/>
      <c r="K336" s="101" t="s">
        <v>619</v>
      </c>
      <c r="L336" s="20" t="s">
        <v>620</v>
      </c>
      <c r="M336" s="235"/>
      <c r="N336" s="243"/>
    </row>
    <row r="337" spans="1:14" x14ac:dyDescent="0.25">
      <c r="A337" s="229"/>
      <c r="B337" s="235"/>
      <c r="C337" s="235"/>
      <c r="D337" s="232"/>
      <c r="E337" s="232"/>
      <c r="F337" s="235"/>
      <c r="G337" s="235"/>
      <c r="H337" s="220"/>
      <c r="I337" s="220"/>
      <c r="J337" s="220"/>
      <c r="K337" s="96" t="s">
        <v>510</v>
      </c>
      <c r="L337" s="14" t="s">
        <v>174</v>
      </c>
      <c r="M337" s="235"/>
      <c r="N337" s="243"/>
    </row>
    <row r="338" spans="1:14" x14ac:dyDescent="0.25">
      <c r="A338" s="229"/>
      <c r="B338" s="235"/>
      <c r="C338" s="235"/>
      <c r="D338" s="232"/>
      <c r="E338" s="232"/>
      <c r="F338" s="235"/>
      <c r="G338" s="235"/>
      <c r="H338" s="220"/>
      <c r="I338" s="220"/>
      <c r="J338" s="220"/>
      <c r="K338" s="96" t="s">
        <v>512</v>
      </c>
      <c r="L338" s="19" t="s">
        <v>546</v>
      </c>
      <c r="M338" s="235"/>
      <c r="N338" s="243"/>
    </row>
    <row r="339" spans="1:14" x14ac:dyDescent="0.25">
      <c r="A339" s="229"/>
      <c r="B339" s="235"/>
      <c r="C339" s="235"/>
      <c r="D339" s="232"/>
      <c r="E339" s="232"/>
      <c r="F339" s="235"/>
      <c r="G339" s="235"/>
      <c r="H339" s="220"/>
      <c r="I339" s="220"/>
      <c r="J339" s="220"/>
      <c r="K339" s="96" t="s">
        <v>515</v>
      </c>
      <c r="L339" s="14" t="s">
        <v>166</v>
      </c>
      <c r="M339" s="235"/>
      <c r="N339" s="243"/>
    </row>
    <row r="340" spans="1:14" x14ac:dyDescent="0.25">
      <c r="A340" s="229"/>
      <c r="B340" s="235"/>
      <c r="C340" s="235"/>
      <c r="D340" s="232"/>
      <c r="E340" s="232"/>
      <c r="F340" s="235"/>
      <c r="G340" s="235"/>
      <c r="H340" s="220"/>
      <c r="I340" s="220"/>
      <c r="J340" s="220"/>
      <c r="K340" s="96" t="s">
        <v>518</v>
      </c>
      <c r="L340" s="14">
        <v>2</v>
      </c>
      <c r="M340" s="235"/>
      <c r="N340" s="243"/>
    </row>
    <row r="341" spans="1:14" x14ac:dyDescent="0.25">
      <c r="A341" s="229"/>
      <c r="B341" s="235"/>
      <c r="C341" s="235"/>
      <c r="D341" s="232"/>
      <c r="E341" s="232"/>
      <c r="F341" s="235"/>
      <c r="G341" s="235"/>
      <c r="H341" s="220"/>
      <c r="I341" s="220"/>
      <c r="J341" s="220"/>
      <c r="K341" s="96" t="s">
        <v>533</v>
      </c>
      <c r="L341" s="14" t="s">
        <v>534</v>
      </c>
      <c r="M341" s="235"/>
      <c r="N341" s="243"/>
    </row>
    <row r="342" spans="1:14" x14ac:dyDescent="0.25">
      <c r="A342" s="229"/>
      <c r="B342" s="235"/>
      <c r="C342" s="235"/>
      <c r="D342" s="232"/>
      <c r="E342" s="232"/>
      <c r="F342" s="235"/>
      <c r="G342" s="235"/>
      <c r="H342" s="220"/>
      <c r="I342" s="220"/>
      <c r="J342" s="220"/>
      <c r="K342" s="96" t="s">
        <v>519</v>
      </c>
      <c r="L342" s="14">
        <v>290</v>
      </c>
      <c r="M342" s="235"/>
      <c r="N342" s="243"/>
    </row>
    <row r="343" spans="1:14" x14ac:dyDescent="0.25">
      <c r="A343" s="229"/>
      <c r="B343" s="235"/>
      <c r="C343" s="235"/>
      <c r="D343" s="232"/>
      <c r="E343" s="232"/>
      <c r="F343" s="235"/>
      <c r="G343" s="235"/>
      <c r="H343" s="220"/>
      <c r="I343" s="220"/>
      <c r="J343" s="220"/>
      <c r="K343" s="96" t="s">
        <v>83</v>
      </c>
      <c r="L343" s="19" t="s">
        <v>267</v>
      </c>
      <c r="M343" s="235"/>
      <c r="N343" s="243"/>
    </row>
    <row r="344" spans="1:14" ht="15.6" thickBot="1" x14ac:dyDescent="0.3">
      <c r="A344" s="230"/>
      <c r="B344" s="236"/>
      <c r="C344" s="236"/>
      <c r="D344" s="233"/>
      <c r="E344" s="233"/>
      <c r="F344" s="236"/>
      <c r="G344" s="236"/>
      <c r="H344" s="246"/>
      <c r="I344" s="246"/>
      <c r="J344" s="246"/>
      <c r="K344" s="100" t="s">
        <v>520</v>
      </c>
      <c r="L344" s="73" t="s">
        <v>267</v>
      </c>
      <c r="M344" s="236"/>
      <c r="N344" s="244"/>
    </row>
    <row r="345" spans="1:14" ht="15.6" thickBot="1" x14ac:dyDescent="0.3"/>
    <row r="346" spans="1:14" ht="15" customHeight="1" thickBot="1" x14ac:dyDescent="0.3">
      <c r="A346" s="228" t="s">
        <v>958</v>
      </c>
      <c r="B346" s="234"/>
      <c r="C346" s="234" t="s">
        <v>728</v>
      </c>
      <c r="D346" s="231" t="s">
        <v>480</v>
      </c>
      <c r="E346" s="231" t="s">
        <v>959</v>
      </c>
      <c r="F346" s="234" t="s">
        <v>928</v>
      </c>
      <c r="G346" s="234" t="s">
        <v>929</v>
      </c>
      <c r="H346" s="247" t="s">
        <v>994</v>
      </c>
      <c r="I346" s="247" t="s">
        <v>994</v>
      </c>
      <c r="J346" s="245" t="s">
        <v>982</v>
      </c>
      <c r="K346" s="97" t="s">
        <v>564</v>
      </c>
      <c r="L346" s="68" t="s">
        <v>565</v>
      </c>
      <c r="M346" s="234" t="s">
        <v>720</v>
      </c>
      <c r="N346" s="242" t="s">
        <v>731</v>
      </c>
    </row>
    <row r="347" spans="1:14" x14ac:dyDescent="0.25">
      <c r="A347" s="229"/>
      <c r="B347" s="235"/>
      <c r="C347" s="235"/>
      <c r="D347" s="232"/>
      <c r="E347" s="232"/>
      <c r="F347" s="235"/>
      <c r="G347" s="235"/>
      <c r="H347" s="220"/>
      <c r="I347" s="220"/>
      <c r="J347" s="220"/>
      <c r="K347" s="95" t="s">
        <v>567</v>
      </c>
      <c r="L347" s="14" t="s">
        <v>172</v>
      </c>
      <c r="M347" s="235"/>
      <c r="N347" s="243"/>
    </row>
    <row r="348" spans="1:14" x14ac:dyDescent="0.25">
      <c r="A348" s="229"/>
      <c r="B348" s="235"/>
      <c r="C348" s="235"/>
      <c r="D348" s="232"/>
      <c r="E348" s="232"/>
      <c r="F348" s="235"/>
      <c r="G348" s="235"/>
      <c r="H348" s="220"/>
      <c r="I348" s="220"/>
      <c r="J348" s="220"/>
      <c r="K348" s="95" t="s">
        <v>583</v>
      </c>
      <c r="L348" s="14" t="s">
        <v>584</v>
      </c>
      <c r="M348" s="235"/>
      <c r="N348" s="243"/>
    </row>
    <row r="349" spans="1:14" x14ac:dyDescent="0.25">
      <c r="A349" s="229"/>
      <c r="B349" s="235"/>
      <c r="C349" s="235"/>
      <c r="D349" s="232"/>
      <c r="E349" s="232"/>
      <c r="F349" s="235"/>
      <c r="G349" s="235"/>
      <c r="H349" s="220"/>
      <c r="I349" s="220"/>
      <c r="J349" s="220"/>
      <c r="K349" s="95" t="s">
        <v>569</v>
      </c>
      <c r="L349" s="35">
        <v>46336</v>
      </c>
      <c r="M349" s="235"/>
      <c r="N349" s="243"/>
    </row>
    <row r="350" spans="1:14" x14ac:dyDescent="0.25">
      <c r="A350" s="229"/>
      <c r="B350" s="235"/>
      <c r="C350" s="235"/>
      <c r="D350" s="232"/>
      <c r="E350" s="232"/>
      <c r="F350" s="235"/>
      <c r="G350" s="235"/>
      <c r="H350" s="220"/>
      <c r="I350" s="220"/>
      <c r="J350" s="220"/>
      <c r="K350" s="95" t="s">
        <v>570</v>
      </c>
      <c r="L350" s="14">
        <v>1</v>
      </c>
      <c r="M350" s="235"/>
      <c r="N350" s="243"/>
    </row>
    <row r="351" spans="1:14" ht="15.6" thickBot="1" x14ac:dyDescent="0.3">
      <c r="A351" s="230"/>
      <c r="B351" s="236"/>
      <c r="C351" s="236"/>
      <c r="D351" s="233"/>
      <c r="E351" s="233"/>
      <c r="F351" s="236"/>
      <c r="G351" s="236"/>
      <c r="H351" s="246"/>
      <c r="I351" s="246"/>
      <c r="J351" s="246"/>
      <c r="K351" s="98" t="s">
        <v>573</v>
      </c>
      <c r="L351" s="73" t="s">
        <v>299</v>
      </c>
      <c r="M351" s="236"/>
      <c r="N351" s="244"/>
    </row>
    <row r="352" spans="1:14" ht="15.6" thickBot="1" x14ac:dyDescent="0.3"/>
    <row r="353" spans="1:14" ht="15" customHeight="1" thickBot="1" x14ac:dyDescent="0.3">
      <c r="A353" s="228" t="s">
        <v>960</v>
      </c>
      <c r="B353" s="234"/>
      <c r="C353" s="234" t="s">
        <v>728</v>
      </c>
      <c r="D353" s="231" t="s">
        <v>480</v>
      </c>
      <c r="E353" s="231" t="s">
        <v>589</v>
      </c>
      <c r="F353" s="234" t="s">
        <v>928</v>
      </c>
      <c r="G353" s="234" t="s">
        <v>929</v>
      </c>
      <c r="H353" s="247" t="s">
        <v>994</v>
      </c>
      <c r="I353" s="247" t="s">
        <v>994</v>
      </c>
      <c r="J353" s="245" t="s">
        <v>981</v>
      </c>
      <c r="K353" s="99" t="s">
        <v>503</v>
      </c>
      <c r="L353" s="68" t="s">
        <v>486</v>
      </c>
      <c r="M353" s="234" t="s">
        <v>720</v>
      </c>
      <c r="N353" s="242" t="s">
        <v>731</v>
      </c>
    </row>
    <row r="354" spans="1:14" x14ac:dyDescent="0.25">
      <c r="A354" s="229"/>
      <c r="B354" s="235"/>
      <c r="C354" s="235"/>
      <c r="D354" s="232"/>
      <c r="E354" s="232"/>
      <c r="F354" s="235"/>
      <c r="G354" s="235"/>
      <c r="H354" s="220"/>
      <c r="I354" s="220"/>
      <c r="J354" s="220"/>
      <c r="K354" s="96" t="s">
        <v>600</v>
      </c>
      <c r="L354" s="35">
        <v>46336</v>
      </c>
      <c r="M354" s="235"/>
      <c r="N354" s="243"/>
    </row>
    <row r="355" spans="1:14" x14ac:dyDescent="0.25">
      <c r="A355" s="229"/>
      <c r="B355" s="235"/>
      <c r="C355" s="235"/>
      <c r="D355" s="232"/>
      <c r="E355" s="232"/>
      <c r="F355" s="235"/>
      <c r="G355" s="235"/>
      <c r="H355" s="220"/>
      <c r="I355" s="220"/>
      <c r="J355" s="220"/>
      <c r="K355" s="96" t="s">
        <v>505</v>
      </c>
      <c r="L355" s="14" t="s">
        <v>506</v>
      </c>
      <c r="M355" s="235"/>
      <c r="N355" s="243"/>
    </row>
    <row r="356" spans="1:14" x14ac:dyDescent="0.25">
      <c r="A356" s="229"/>
      <c r="B356" s="235"/>
      <c r="C356" s="235"/>
      <c r="D356" s="232"/>
      <c r="E356" s="232"/>
      <c r="F356" s="235"/>
      <c r="G356" s="235"/>
      <c r="H356" s="220"/>
      <c r="I356" s="220"/>
      <c r="J356" s="220"/>
      <c r="K356" s="96" t="s">
        <v>602</v>
      </c>
      <c r="L356" s="14" t="s">
        <v>603</v>
      </c>
      <c r="M356" s="235"/>
      <c r="N356" s="243"/>
    </row>
    <row r="357" spans="1:14" x14ac:dyDescent="0.25">
      <c r="A357" s="229"/>
      <c r="B357" s="235"/>
      <c r="C357" s="235"/>
      <c r="D357" s="232"/>
      <c r="E357" s="232"/>
      <c r="F357" s="235"/>
      <c r="G357" s="235"/>
      <c r="H357" s="220"/>
      <c r="I357" s="220"/>
      <c r="J357" s="220"/>
      <c r="K357" s="96" t="s">
        <v>604</v>
      </c>
      <c r="L357" s="35" t="s">
        <v>622</v>
      </c>
      <c r="M357" s="235"/>
      <c r="N357" s="243"/>
    </row>
    <row r="358" spans="1:14" x14ac:dyDescent="0.25">
      <c r="A358" s="229"/>
      <c r="B358" s="235"/>
      <c r="C358" s="235"/>
      <c r="D358" s="232"/>
      <c r="E358" s="232"/>
      <c r="F358" s="235"/>
      <c r="G358" s="235"/>
      <c r="H358" s="220"/>
      <c r="I358" s="220"/>
      <c r="J358" s="220"/>
      <c r="K358" s="95" t="s">
        <v>605</v>
      </c>
      <c r="L358" s="14">
        <v>2</v>
      </c>
      <c r="M358" s="235"/>
      <c r="N358" s="243"/>
    </row>
    <row r="359" spans="1:14" x14ac:dyDescent="0.25">
      <c r="A359" s="229"/>
      <c r="B359" s="235"/>
      <c r="C359" s="235"/>
      <c r="D359" s="232"/>
      <c r="E359" s="232"/>
      <c r="F359" s="235"/>
      <c r="G359" s="235"/>
      <c r="H359" s="220"/>
      <c r="I359" s="220"/>
      <c r="J359" s="220"/>
      <c r="K359" s="95" t="s">
        <v>606</v>
      </c>
      <c r="L359" s="14">
        <v>506</v>
      </c>
      <c r="M359" s="235"/>
      <c r="N359" s="243"/>
    </row>
    <row r="360" spans="1:14" x14ac:dyDescent="0.25">
      <c r="A360" s="229"/>
      <c r="B360" s="235"/>
      <c r="C360" s="235"/>
      <c r="D360" s="232"/>
      <c r="E360" s="232"/>
      <c r="F360" s="235"/>
      <c r="G360" s="235"/>
      <c r="H360" s="220"/>
      <c r="I360" s="220"/>
      <c r="J360" s="220"/>
      <c r="K360" s="95" t="s">
        <v>643</v>
      </c>
      <c r="L360" s="19" t="s">
        <v>267</v>
      </c>
      <c r="M360" s="235"/>
      <c r="N360" s="243"/>
    </row>
    <row r="361" spans="1:14" ht="15.6" thickBot="1" x14ac:dyDescent="0.3">
      <c r="A361" s="230"/>
      <c r="B361" s="236"/>
      <c r="C361" s="236"/>
      <c r="D361" s="233"/>
      <c r="E361" s="233"/>
      <c r="F361" s="236"/>
      <c r="G361" s="236"/>
      <c r="H361" s="246"/>
      <c r="I361" s="246"/>
      <c r="J361" s="246"/>
      <c r="K361" s="98" t="s">
        <v>609</v>
      </c>
      <c r="L361" s="73" t="s">
        <v>267</v>
      </c>
      <c r="M361" s="236"/>
      <c r="N361" s="244"/>
    </row>
    <row r="362" spans="1:14" ht="15.6" thickBot="1" x14ac:dyDescent="0.3"/>
    <row r="363" spans="1:14" ht="15" customHeight="1" thickBot="1" x14ac:dyDescent="0.3">
      <c r="A363" s="228" t="s">
        <v>961</v>
      </c>
      <c r="B363" s="234"/>
      <c r="C363" s="234" t="s">
        <v>728</v>
      </c>
      <c r="D363" s="231" t="s">
        <v>480</v>
      </c>
      <c r="E363" s="231" t="s">
        <v>589</v>
      </c>
      <c r="F363" s="234" t="s">
        <v>928</v>
      </c>
      <c r="G363" s="234" t="s">
        <v>929</v>
      </c>
      <c r="H363" s="247" t="s">
        <v>995</v>
      </c>
      <c r="I363" s="247" t="s">
        <v>995</v>
      </c>
      <c r="J363" s="245" t="s">
        <v>990</v>
      </c>
      <c r="K363" s="99" t="s">
        <v>503</v>
      </c>
      <c r="L363" s="68" t="s">
        <v>490</v>
      </c>
      <c r="M363" s="234" t="s">
        <v>720</v>
      </c>
      <c r="N363" s="242" t="s">
        <v>731</v>
      </c>
    </row>
    <row r="364" spans="1:14" x14ac:dyDescent="0.25">
      <c r="A364" s="229"/>
      <c r="B364" s="235"/>
      <c r="C364" s="235"/>
      <c r="D364" s="232"/>
      <c r="E364" s="232"/>
      <c r="F364" s="235"/>
      <c r="G364" s="235"/>
      <c r="H364" s="220"/>
      <c r="I364" s="220"/>
      <c r="J364" s="220"/>
      <c r="K364" s="96" t="s">
        <v>600</v>
      </c>
      <c r="L364" s="35">
        <v>46336</v>
      </c>
      <c r="M364" s="235"/>
      <c r="N364" s="243"/>
    </row>
    <row r="365" spans="1:14" x14ac:dyDescent="0.25">
      <c r="A365" s="229"/>
      <c r="B365" s="235"/>
      <c r="C365" s="235"/>
      <c r="D365" s="232"/>
      <c r="E365" s="232"/>
      <c r="F365" s="235"/>
      <c r="G365" s="235"/>
      <c r="H365" s="220"/>
      <c r="I365" s="220"/>
      <c r="J365" s="220"/>
      <c r="K365" s="96" t="s">
        <v>505</v>
      </c>
      <c r="L365" s="14" t="s">
        <v>506</v>
      </c>
      <c r="M365" s="235"/>
      <c r="N365" s="243"/>
    </row>
    <row r="366" spans="1:14" x14ac:dyDescent="0.25">
      <c r="A366" s="229"/>
      <c r="B366" s="235"/>
      <c r="C366" s="235"/>
      <c r="D366" s="232"/>
      <c r="E366" s="232"/>
      <c r="F366" s="235"/>
      <c r="G366" s="235"/>
      <c r="H366" s="220"/>
      <c r="I366" s="220"/>
      <c r="J366" s="220"/>
      <c r="K366" s="96" t="s">
        <v>602</v>
      </c>
      <c r="L366" s="14" t="s">
        <v>603</v>
      </c>
      <c r="M366" s="235"/>
      <c r="N366" s="243"/>
    </row>
    <row r="367" spans="1:14" x14ac:dyDescent="0.25">
      <c r="A367" s="229"/>
      <c r="B367" s="235"/>
      <c r="C367" s="235"/>
      <c r="D367" s="232"/>
      <c r="E367" s="232"/>
      <c r="F367" s="235"/>
      <c r="G367" s="235"/>
      <c r="H367" s="220"/>
      <c r="I367" s="220"/>
      <c r="J367" s="220"/>
      <c r="K367" s="96" t="s">
        <v>604</v>
      </c>
      <c r="L367" s="35">
        <v>46346</v>
      </c>
      <c r="M367" s="235"/>
      <c r="N367" s="243"/>
    </row>
    <row r="368" spans="1:14" x14ac:dyDescent="0.25">
      <c r="A368" s="229"/>
      <c r="B368" s="235"/>
      <c r="C368" s="235"/>
      <c r="D368" s="232"/>
      <c r="E368" s="232"/>
      <c r="F368" s="235"/>
      <c r="G368" s="235"/>
      <c r="H368" s="220"/>
      <c r="I368" s="220"/>
      <c r="J368" s="220"/>
      <c r="K368" s="95" t="s">
        <v>605</v>
      </c>
      <c r="L368" s="14" t="s">
        <v>628</v>
      </c>
      <c r="M368" s="235"/>
      <c r="N368" s="243"/>
    </row>
    <row r="369" spans="1:14" x14ac:dyDescent="0.25">
      <c r="A369" s="229"/>
      <c r="B369" s="235"/>
      <c r="C369" s="235"/>
      <c r="D369" s="232"/>
      <c r="E369" s="232"/>
      <c r="F369" s="235"/>
      <c r="G369" s="235"/>
      <c r="H369" s="220"/>
      <c r="I369" s="220"/>
      <c r="J369" s="220"/>
      <c r="K369" s="95" t="s">
        <v>606</v>
      </c>
      <c r="L369" s="14">
        <v>506</v>
      </c>
      <c r="M369" s="235"/>
      <c r="N369" s="243"/>
    </row>
    <row r="370" spans="1:14" x14ac:dyDescent="0.25">
      <c r="A370" s="229"/>
      <c r="B370" s="235"/>
      <c r="C370" s="235"/>
      <c r="D370" s="232"/>
      <c r="E370" s="232"/>
      <c r="F370" s="235"/>
      <c r="G370" s="235"/>
      <c r="H370" s="220"/>
      <c r="I370" s="220"/>
      <c r="J370" s="220"/>
      <c r="K370" s="95" t="s">
        <v>643</v>
      </c>
      <c r="L370" s="19" t="s">
        <v>267</v>
      </c>
      <c r="M370" s="235"/>
      <c r="N370" s="243"/>
    </row>
    <row r="371" spans="1:14" ht="15.6" thickBot="1" x14ac:dyDescent="0.3">
      <c r="A371" s="230"/>
      <c r="B371" s="236"/>
      <c r="C371" s="236"/>
      <c r="D371" s="233"/>
      <c r="E371" s="233"/>
      <c r="F371" s="236"/>
      <c r="G371" s="236"/>
      <c r="H371" s="246"/>
      <c r="I371" s="246"/>
      <c r="J371" s="246"/>
      <c r="K371" s="98" t="s">
        <v>609</v>
      </c>
      <c r="L371" s="73" t="s">
        <v>267</v>
      </c>
      <c r="M371" s="236"/>
      <c r="N371" s="244"/>
    </row>
    <row r="372" spans="1:14" ht="15.6" thickBot="1" x14ac:dyDescent="0.3"/>
    <row r="373" spans="1:14" ht="15" customHeight="1" thickBot="1" x14ac:dyDescent="0.3">
      <c r="A373" s="228" t="s">
        <v>962</v>
      </c>
      <c r="B373" s="234"/>
      <c r="C373" s="234" t="s">
        <v>728</v>
      </c>
      <c r="D373" s="231" t="s">
        <v>480</v>
      </c>
      <c r="E373" s="231" t="s">
        <v>589</v>
      </c>
      <c r="F373" s="234" t="s">
        <v>928</v>
      </c>
      <c r="G373" s="234" t="s">
        <v>929</v>
      </c>
      <c r="H373" s="247" t="s">
        <v>995</v>
      </c>
      <c r="I373" s="247" t="s">
        <v>995</v>
      </c>
      <c r="J373" s="245" t="s">
        <v>991</v>
      </c>
      <c r="K373" s="99" t="s">
        <v>503</v>
      </c>
      <c r="L373" s="68" t="s">
        <v>489</v>
      </c>
      <c r="M373" s="234" t="s">
        <v>720</v>
      </c>
      <c r="N373" s="242" t="s">
        <v>731</v>
      </c>
    </row>
    <row r="374" spans="1:14" x14ac:dyDescent="0.25">
      <c r="A374" s="229"/>
      <c r="B374" s="235"/>
      <c r="C374" s="235"/>
      <c r="D374" s="232"/>
      <c r="E374" s="232"/>
      <c r="F374" s="235"/>
      <c r="G374" s="235"/>
      <c r="H374" s="220"/>
      <c r="I374" s="220"/>
      <c r="J374" s="220"/>
      <c r="K374" s="96" t="s">
        <v>600</v>
      </c>
      <c r="L374" s="35">
        <v>46336</v>
      </c>
      <c r="M374" s="235"/>
      <c r="N374" s="243"/>
    </row>
    <row r="375" spans="1:14" x14ac:dyDescent="0.25">
      <c r="A375" s="229"/>
      <c r="B375" s="235"/>
      <c r="C375" s="235"/>
      <c r="D375" s="232"/>
      <c r="E375" s="232"/>
      <c r="F375" s="235"/>
      <c r="G375" s="235"/>
      <c r="H375" s="220"/>
      <c r="I375" s="220"/>
      <c r="J375" s="220"/>
      <c r="K375" s="96" t="s">
        <v>505</v>
      </c>
      <c r="L375" s="14" t="s">
        <v>506</v>
      </c>
      <c r="M375" s="235"/>
      <c r="N375" s="243"/>
    </row>
    <row r="376" spans="1:14" x14ac:dyDescent="0.25">
      <c r="A376" s="229"/>
      <c r="B376" s="235"/>
      <c r="C376" s="235"/>
      <c r="D376" s="232"/>
      <c r="E376" s="232"/>
      <c r="F376" s="235"/>
      <c r="G376" s="235"/>
      <c r="H376" s="220"/>
      <c r="I376" s="220"/>
      <c r="J376" s="220"/>
      <c r="K376" s="96" t="s">
        <v>602</v>
      </c>
      <c r="L376" s="14" t="s">
        <v>603</v>
      </c>
      <c r="M376" s="235"/>
      <c r="N376" s="243"/>
    </row>
    <row r="377" spans="1:14" x14ac:dyDescent="0.25">
      <c r="A377" s="229"/>
      <c r="B377" s="235"/>
      <c r="C377" s="235"/>
      <c r="D377" s="232"/>
      <c r="E377" s="232"/>
      <c r="F377" s="235"/>
      <c r="G377" s="235"/>
      <c r="H377" s="220"/>
      <c r="I377" s="220"/>
      <c r="J377" s="220"/>
      <c r="K377" s="96" t="s">
        <v>604</v>
      </c>
      <c r="L377" s="35">
        <v>46351</v>
      </c>
      <c r="M377" s="235"/>
      <c r="N377" s="243"/>
    </row>
    <row r="378" spans="1:14" x14ac:dyDescent="0.25">
      <c r="A378" s="229"/>
      <c r="B378" s="235"/>
      <c r="C378" s="235"/>
      <c r="D378" s="232"/>
      <c r="E378" s="232"/>
      <c r="F378" s="235"/>
      <c r="G378" s="235"/>
      <c r="H378" s="220"/>
      <c r="I378" s="220"/>
      <c r="J378" s="220"/>
      <c r="K378" s="95" t="s">
        <v>605</v>
      </c>
      <c r="L378" s="14">
        <v>2</v>
      </c>
      <c r="M378" s="235"/>
      <c r="N378" s="243"/>
    </row>
    <row r="379" spans="1:14" x14ac:dyDescent="0.25">
      <c r="A379" s="229"/>
      <c r="B379" s="235"/>
      <c r="C379" s="235"/>
      <c r="D379" s="232"/>
      <c r="E379" s="232"/>
      <c r="F379" s="235"/>
      <c r="G379" s="235"/>
      <c r="H379" s="220"/>
      <c r="I379" s="220"/>
      <c r="J379" s="220"/>
      <c r="K379" s="95" t="s">
        <v>606</v>
      </c>
      <c r="L379" s="14" t="s">
        <v>631</v>
      </c>
      <c r="M379" s="235"/>
      <c r="N379" s="243"/>
    </row>
    <row r="380" spans="1:14" x14ac:dyDescent="0.25">
      <c r="A380" s="229"/>
      <c r="B380" s="235"/>
      <c r="C380" s="235"/>
      <c r="D380" s="232"/>
      <c r="E380" s="232"/>
      <c r="F380" s="235"/>
      <c r="G380" s="235"/>
      <c r="H380" s="220"/>
      <c r="I380" s="220"/>
      <c r="J380" s="220"/>
      <c r="K380" s="95" t="s">
        <v>643</v>
      </c>
      <c r="L380" s="19" t="s">
        <v>267</v>
      </c>
      <c r="M380" s="235"/>
      <c r="N380" s="243"/>
    </row>
    <row r="381" spans="1:14" ht="15.6" thickBot="1" x14ac:dyDescent="0.3">
      <c r="A381" s="230"/>
      <c r="B381" s="236"/>
      <c r="C381" s="236"/>
      <c r="D381" s="233"/>
      <c r="E381" s="233"/>
      <c r="F381" s="236"/>
      <c r="G381" s="236"/>
      <c r="H381" s="246"/>
      <c r="I381" s="246"/>
      <c r="J381" s="246"/>
      <c r="K381" s="98" t="s">
        <v>609</v>
      </c>
      <c r="L381" s="73" t="s">
        <v>267</v>
      </c>
      <c r="M381" s="236"/>
      <c r="N381" s="244"/>
    </row>
    <row r="382" spans="1:14" ht="15.6" thickBot="1" x14ac:dyDescent="0.3"/>
    <row r="383" spans="1:14" ht="15" customHeight="1" thickBot="1" x14ac:dyDescent="0.3">
      <c r="A383" s="228" t="s">
        <v>963</v>
      </c>
      <c r="B383" s="234"/>
      <c r="C383" s="234" t="s">
        <v>728</v>
      </c>
      <c r="D383" s="231" t="s">
        <v>480</v>
      </c>
      <c r="E383" s="231" t="s">
        <v>965</v>
      </c>
      <c r="F383" s="234" t="s">
        <v>928</v>
      </c>
      <c r="G383" s="234" t="s">
        <v>929</v>
      </c>
      <c r="H383" s="247" t="s">
        <v>995</v>
      </c>
      <c r="I383" s="247" t="s">
        <v>995</v>
      </c>
      <c r="J383" s="245" t="s">
        <v>984</v>
      </c>
      <c r="K383" s="69" t="s">
        <v>648</v>
      </c>
      <c r="L383" s="68" t="s">
        <v>486</v>
      </c>
      <c r="M383" s="234" t="s">
        <v>720</v>
      </c>
      <c r="N383" s="242" t="s">
        <v>731</v>
      </c>
    </row>
    <row r="384" spans="1:14" x14ac:dyDescent="0.25">
      <c r="A384" s="229"/>
      <c r="B384" s="235"/>
      <c r="C384" s="235"/>
      <c r="D384" s="232"/>
      <c r="E384" s="232"/>
      <c r="F384" s="235"/>
      <c r="G384" s="235"/>
      <c r="H384" s="220"/>
      <c r="I384" s="220"/>
      <c r="J384" s="220"/>
      <c r="K384" s="4" t="s">
        <v>649</v>
      </c>
      <c r="L384" s="35">
        <v>46213</v>
      </c>
      <c r="M384" s="235"/>
      <c r="N384" s="243"/>
    </row>
    <row r="385" spans="1:14" x14ac:dyDescent="0.25">
      <c r="A385" s="229"/>
      <c r="B385" s="235"/>
      <c r="C385" s="235"/>
      <c r="D385" s="232"/>
      <c r="E385" s="232"/>
      <c r="F385" s="235"/>
      <c r="G385" s="235"/>
      <c r="H385" s="220"/>
      <c r="I385" s="220"/>
      <c r="J385" s="220"/>
      <c r="K385" s="4" t="s">
        <v>433</v>
      </c>
      <c r="L385" s="14" t="s">
        <v>443</v>
      </c>
      <c r="M385" s="235"/>
      <c r="N385" s="243"/>
    </row>
    <row r="386" spans="1:14" x14ac:dyDescent="0.25">
      <c r="A386" s="229"/>
      <c r="B386" s="235"/>
      <c r="C386" s="235"/>
      <c r="D386" s="232"/>
      <c r="E386" s="232"/>
      <c r="F386" s="235"/>
      <c r="G386" s="235"/>
      <c r="H386" s="220"/>
      <c r="I386" s="220"/>
      <c r="J386" s="220"/>
      <c r="K386" s="4" t="s">
        <v>454</v>
      </c>
      <c r="L386" s="14" t="s">
        <v>455</v>
      </c>
      <c r="M386" s="235"/>
      <c r="N386" s="243"/>
    </row>
    <row r="387" spans="1:14" x14ac:dyDescent="0.25">
      <c r="A387" s="229"/>
      <c r="B387" s="235"/>
      <c r="C387" s="235"/>
      <c r="D387" s="232"/>
      <c r="E387" s="232"/>
      <c r="F387" s="235"/>
      <c r="G387" s="235"/>
      <c r="H387" s="220"/>
      <c r="I387" s="220"/>
      <c r="J387" s="220"/>
      <c r="K387" s="4" t="s">
        <v>438</v>
      </c>
      <c r="L387" s="14">
        <v>500</v>
      </c>
      <c r="M387" s="235"/>
      <c r="N387" s="243"/>
    </row>
    <row r="388" spans="1:14" x14ac:dyDescent="0.25">
      <c r="A388" s="229"/>
      <c r="B388" s="235"/>
      <c r="C388" s="235"/>
      <c r="D388" s="232"/>
      <c r="E388" s="232"/>
      <c r="F388" s="235"/>
      <c r="G388" s="235"/>
      <c r="H388" s="220"/>
      <c r="I388" s="220"/>
      <c r="J388" s="220"/>
      <c r="K388" s="4" t="s">
        <v>437</v>
      </c>
      <c r="L388" s="14">
        <v>20</v>
      </c>
      <c r="M388" s="235"/>
      <c r="N388" s="243"/>
    </row>
    <row r="389" spans="1:14" x14ac:dyDescent="0.25">
      <c r="A389" s="229"/>
      <c r="B389" s="235"/>
      <c r="C389" s="235"/>
      <c r="D389" s="232"/>
      <c r="E389" s="232"/>
      <c r="F389" s="235"/>
      <c r="G389" s="235"/>
      <c r="H389" s="220"/>
      <c r="I389" s="220"/>
      <c r="J389" s="220"/>
      <c r="K389" s="4" t="s">
        <v>439</v>
      </c>
      <c r="L389" s="19" t="s">
        <v>267</v>
      </c>
      <c r="M389" s="235"/>
      <c r="N389" s="243"/>
    </row>
    <row r="390" spans="1:14" ht="15.6" thickBot="1" x14ac:dyDescent="0.3">
      <c r="A390" s="230"/>
      <c r="B390" s="236"/>
      <c r="C390" s="236"/>
      <c r="D390" s="233"/>
      <c r="E390" s="233"/>
      <c r="F390" s="236"/>
      <c r="G390" s="236"/>
      <c r="H390" s="246"/>
      <c r="I390" s="246"/>
      <c r="J390" s="246"/>
      <c r="K390" s="72" t="s">
        <v>440</v>
      </c>
      <c r="L390" s="73" t="s">
        <v>299</v>
      </c>
      <c r="M390" s="236"/>
      <c r="N390" s="244"/>
    </row>
    <row r="391" spans="1:14" ht="15.6" thickBot="1" x14ac:dyDescent="0.3"/>
    <row r="392" spans="1:14" ht="15" customHeight="1" thickBot="1" x14ac:dyDescent="0.3">
      <c r="A392" s="228" t="s">
        <v>964</v>
      </c>
      <c r="B392" s="234"/>
      <c r="C392" s="234" t="s">
        <v>728</v>
      </c>
      <c r="D392" s="231" t="s">
        <v>480</v>
      </c>
      <c r="E392" s="231" t="s">
        <v>965</v>
      </c>
      <c r="F392" s="234" t="s">
        <v>928</v>
      </c>
      <c r="G392" s="234" t="s">
        <v>929</v>
      </c>
      <c r="H392" s="247" t="s">
        <v>995</v>
      </c>
      <c r="I392" s="247" t="s">
        <v>995</v>
      </c>
      <c r="J392" s="245" t="s">
        <v>985</v>
      </c>
      <c r="K392" s="69" t="s">
        <v>648</v>
      </c>
      <c r="L392" s="68" t="s">
        <v>490</v>
      </c>
      <c r="M392" s="234" t="s">
        <v>720</v>
      </c>
      <c r="N392" s="242" t="s">
        <v>731</v>
      </c>
    </row>
    <row r="393" spans="1:14" x14ac:dyDescent="0.25">
      <c r="A393" s="229"/>
      <c r="B393" s="235"/>
      <c r="C393" s="235"/>
      <c r="D393" s="232"/>
      <c r="E393" s="232"/>
      <c r="F393" s="235"/>
      <c r="G393" s="235"/>
      <c r="H393" s="220"/>
      <c r="I393" s="220"/>
      <c r="J393" s="220"/>
      <c r="K393" s="4" t="s">
        <v>649</v>
      </c>
      <c r="L393" s="35">
        <v>46213</v>
      </c>
      <c r="M393" s="235"/>
      <c r="N393" s="243"/>
    </row>
    <row r="394" spans="1:14" x14ac:dyDescent="0.25">
      <c r="A394" s="229"/>
      <c r="B394" s="235"/>
      <c r="C394" s="235"/>
      <c r="D394" s="232"/>
      <c r="E394" s="232"/>
      <c r="F394" s="235"/>
      <c r="G394" s="235"/>
      <c r="H394" s="220"/>
      <c r="I394" s="220"/>
      <c r="J394" s="220"/>
      <c r="K394" s="4" t="s">
        <v>433</v>
      </c>
      <c r="L394" s="14" t="s">
        <v>443</v>
      </c>
      <c r="M394" s="235"/>
      <c r="N394" s="243"/>
    </row>
    <row r="395" spans="1:14" x14ac:dyDescent="0.25">
      <c r="A395" s="229"/>
      <c r="B395" s="235"/>
      <c r="C395" s="235"/>
      <c r="D395" s="232"/>
      <c r="E395" s="232"/>
      <c r="F395" s="235"/>
      <c r="G395" s="235"/>
      <c r="H395" s="220"/>
      <c r="I395" s="220"/>
      <c r="J395" s="220"/>
      <c r="K395" s="4" t="s">
        <v>438</v>
      </c>
      <c r="L395" s="14">
        <v>500</v>
      </c>
      <c r="M395" s="235"/>
      <c r="N395" s="243"/>
    </row>
    <row r="396" spans="1:14" x14ac:dyDescent="0.25">
      <c r="A396" s="229"/>
      <c r="B396" s="235"/>
      <c r="C396" s="235"/>
      <c r="D396" s="232"/>
      <c r="E396" s="232"/>
      <c r="F396" s="235"/>
      <c r="G396" s="235"/>
      <c r="H396" s="220"/>
      <c r="I396" s="220"/>
      <c r="J396" s="220"/>
      <c r="K396" s="4" t="s">
        <v>437</v>
      </c>
      <c r="L396" s="14">
        <v>0</v>
      </c>
      <c r="M396" s="235"/>
      <c r="N396" s="243"/>
    </row>
    <row r="397" spans="1:14" x14ac:dyDescent="0.25">
      <c r="A397" s="229"/>
      <c r="B397" s="235"/>
      <c r="C397" s="235"/>
      <c r="D397" s="232"/>
      <c r="E397" s="232"/>
      <c r="F397" s="235"/>
      <c r="G397" s="235"/>
      <c r="H397" s="220"/>
      <c r="I397" s="220"/>
      <c r="J397" s="220"/>
      <c r="K397" s="4" t="s">
        <v>468</v>
      </c>
      <c r="L397" s="19">
        <v>2000</v>
      </c>
      <c r="M397" s="235"/>
      <c r="N397" s="243"/>
    </row>
    <row r="398" spans="1:14" ht="15.6" thickBot="1" x14ac:dyDescent="0.3">
      <c r="A398" s="230"/>
      <c r="B398" s="236"/>
      <c r="C398" s="236"/>
      <c r="D398" s="233"/>
      <c r="E398" s="233"/>
      <c r="F398" s="236"/>
      <c r="G398" s="236"/>
      <c r="H398" s="246"/>
      <c r="I398" s="246"/>
      <c r="J398" s="246"/>
      <c r="K398" s="72" t="s">
        <v>440</v>
      </c>
      <c r="L398" s="73" t="s">
        <v>299</v>
      </c>
      <c r="M398" s="236"/>
      <c r="N398" s="244"/>
    </row>
    <row r="399" spans="1:14" ht="15.6" thickBot="1" x14ac:dyDescent="0.3"/>
    <row r="400" spans="1:14" ht="15" customHeight="1" thickBot="1" x14ac:dyDescent="0.3">
      <c r="A400" s="228" t="s">
        <v>966</v>
      </c>
      <c r="B400" s="234"/>
      <c r="C400" s="234" t="s">
        <v>728</v>
      </c>
      <c r="D400" s="231" t="s">
        <v>967</v>
      </c>
      <c r="E400" s="231" t="s">
        <v>968</v>
      </c>
      <c r="F400" s="234" t="s">
        <v>928</v>
      </c>
      <c r="G400" s="234" t="s">
        <v>929</v>
      </c>
      <c r="H400" s="247" t="s">
        <v>994</v>
      </c>
      <c r="I400" s="247" t="s">
        <v>994</v>
      </c>
      <c r="J400" s="245" t="s">
        <v>992</v>
      </c>
      <c r="K400" s="99" t="s">
        <v>852</v>
      </c>
      <c r="L400" s="68" t="s">
        <v>167</v>
      </c>
      <c r="M400" s="234" t="s">
        <v>720</v>
      </c>
      <c r="N400" s="242" t="s">
        <v>731</v>
      </c>
    </row>
    <row r="401" spans="1:14" x14ac:dyDescent="0.25">
      <c r="A401" s="229"/>
      <c r="B401" s="235"/>
      <c r="C401" s="235"/>
      <c r="D401" s="232"/>
      <c r="E401" s="232"/>
      <c r="F401" s="235"/>
      <c r="G401" s="235"/>
      <c r="H401" s="220"/>
      <c r="I401" s="220"/>
      <c r="J401" s="220"/>
      <c r="K401" s="96" t="s">
        <v>855</v>
      </c>
      <c r="L401" s="14" t="s">
        <v>172</v>
      </c>
      <c r="M401" s="235"/>
      <c r="N401" s="243"/>
    </row>
    <row r="402" spans="1:14" x14ac:dyDescent="0.25">
      <c r="A402" s="229"/>
      <c r="B402" s="235"/>
      <c r="C402" s="235"/>
      <c r="D402" s="232"/>
      <c r="E402" s="232"/>
      <c r="F402" s="235"/>
      <c r="G402" s="235"/>
      <c r="H402" s="220"/>
      <c r="I402" s="220"/>
      <c r="J402" s="220"/>
      <c r="K402" s="96" t="s">
        <v>857</v>
      </c>
      <c r="L402" s="35" t="s">
        <v>867</v>
      </c>
      <c r="M402" s="235"/>
      <c r="N402" s="243"/>
    </row>
    <row r="403" spans="1:14" x14ac:dyDescent="0.25">
      <c r="A403" s="229"/>
      <c r="B403" s="235"/>
      <c r="C403" s="235"/>
      <c r="D403" s="232"/>
      <c r="E403" s="232"/>
      <c r="F403" s="235"/>
      <c r="G403" s="235"/>
      <c r="H403" s="220"/>
      <c r="I403" s="220"/>
      <c r="J403" s="220"/>
      <c r="K403" s="96" t="s">
        <v>858</v>
      </c>
      <c r="L403" s="35">
        <v>46336</v>
      </c>
      <c r="M403" s="235"/>
      <c r="N403" s="243"/>
    </row>
    <row r="404" spans="1:14" ht="15.6" thickBot="1" x14ac:dyDescent="0.3">
      <c r="A404" s="230"/>
      <c r="B404" s="236"/>
      <c r="C404" s="236"/>
      <c r="D404" s="233"/>
      <c r="E404" s="233"/>
      <c r="F404" s="236"/>
      <c r="G404" s="236"/>
      <c r="H404" s="246"/>
      <c r="I404" s="246"/>
      <c r="J404" s="246"/>
      <c r="K404" s="100" t="s">
        <v>859</v>
      </c>
      <c r="L404" s="73" t="s">
        <v>267</v>
      </c>
      <c r="M404" s="236"/>
      <c r="N404" s="244"/>
    </row>
    <row r="406" spans="1:14" ht="15" customHeight="1" x14ac:dyDescent="0.25">
      <c r="A406" s="255" t="s">
        <v>969</v>
      </c>
      <c r="B406" s="255"/>
      <c r="C406" s="255" t="s">
        <v>728</v>
      </c>
      <c r="D406" s="260" t="s">
        <v>967</v>
      </c>
      <c r="E406" s="260" t="s">
        <v>968</v>
      </c>
      <c r="F406" s="255" t="s">
        <v>928</v>
      </c>
      <c r="G406" s="255" t="s">
        <v>929</v>
      </c>
      <c r="H406" s="223" t="s">
        <v>994</v>
      </c>
      <c r="I406" s="223" t="s">
        <v>994</v>
      </c>
      <c r="J406" s="240" t="s">
        <v>992</v>
      </c>
      <c r="K406" s="96" t="s">
        <v>852</v>
      </c>
      <c r="L406" s="14" t="s">
        <v>163</v>
      </c>
      <c r="M406" s="255" t="s">
        <v>720</v>
      </c>
      <c r="N406" s="255" t="s">
        <v>731</v>
      </c>
    </row>
    <row r="407" spans="1:14" x14ac:dyDescent="0.25">
      <c r="A407" s="235"/>
      <c r="B407" s="235"/>
      <c r="C407" s="235"/>
      <c r="D407" s="232"/>
      <c r="E407" s="232"/>
      <c r="F407" s="235"/>
      <c r="G407" s="235"/>
      <c r="H407" s="220"/>
      <c r="I407" s="220"/>
      <c r="J407" s="220"/>
      <c r="K407" s="96" t="s">
        <v>855</v>
      </c>
      <c r="L407" s="14" t="s">
        <v>173</v>
      </c>
      <c r="M407" s="235"/>
      <c r="N407" s="235"/>
    </row>
    <row r="408" spans="1:14" x14ac:dyDescent="0.25">
      <c r="A408" s="235"/>
      <c r="B408" s="235"/>
      <c r="C408" s="235"/>
      <c r="D408" s="232"/>
      <c r="E408" s="232"/>
      <c r="F408" s="235"/>
      <c r="G408" s="235"/>
      <c r="H408" s="220"/>
      <c r="I408" s="220"/>
      <c r="J408" s="220"/>
      <c r="K408" s="96" t="s">
        <v>857</v>
      </c>
      <c r="L408" s="35">
        <v>46336</v>
      </c>
      <c r="M408" s="235"/>
      <c r="N408" s="235"/>
    </row>
    <row r="409" spans="1:14" x14ac:dyDescent="0.25">
      <c r="A409" s="235"/>
      <c r="B409" s="235"/>
      <c r="C409" s="235"/>
      <c r="D409" s="232"/>
      <c r="E409" s="232"/>
      <c r="F409" s="235"/>
      <c r="G409" s="235"/>
      <c r="H409" s="220"/>
      <c r="I409" s="220"/>
      <c r="J409" s="220"/>
      <c r="K409" s="96" t="s">
        <v>858</v>
      </c>
      <c r="L409" s="35" t="s">
        <v>867</v>
      </c>
      <c r="M409" s="235"/>
      <c r="N409" s="235"/>
    </row>
    <row r="410" spans="1:14" x14ac:dyDescent="0.25">
      <c r="A410" s="259"/>
      <c r="B410" s="259"/>
      <c r="C410" s="259"/>
      <c r="D410" s="261"/>
      <c r="E410" s="261"/>
      <c r="F410" s="259"/>
      <c r="G410" s="259"/>
      <c r="H410" s="221"/>
      <c r="I410" s="221"/>
      <c r="J410" s="221"/>
      <c r="K410" s="96" t="s">
        <v>859</v>
      </c>
      <c r="L410" s="19" t="s">
        <v>267</v>
      </c>
      <c r="M410" s="259"/>
      <c r="N410" s="259"/>
    </row>
    <row r="412" spans="1:14" ht="15" customHeight="1" x14ac:dyDescent="0.25">
      <c r="A412" s="255" t="s">
        <v>970</v>
      </c>
      <c r="B412" s="255"/>
      <c r="C412" s="255" t="s">
        <v>728</v>
      </c>
      <c r="D412" s="260" t="s">
        <v>967</v>
      </c>
      <c r="E412" s="260" t="s">
        <v>968</v>
      </c>
      <c r="F412" s="255" t="s">
        <v>928</v>
      </c>
      <c r="G412" s="255" t="s">
        <v>929</v>
      </c>
      <c r="H412" s="223" t="s">
        <v>994</v>
      </c>
      <c r="I412" s="223" t="s">
        <v>994</v>
      </c>
      <c r="J412" s="240" t="s">
        <v>993</v>
      </c>
      <c r="K412" s="96" t="s">
        <v>852</v>
      </c>
      <c r="L412" s="14" t="s">
        <v>166</v>
      </c>
      <c r="M412" s="255" t="s">
        <v>720</v>
      </c>
      <c r="N412" s="255" t="s">
        <v>731</v>
      </c>
    </row>
    <row r="413" spans="1:14" x14ac:dyDescent="0.25">
      <c r="A413" s="235"/>
      <c r="B413" s="235"/>
      <c r="C413" s="235"/>
      <c r="D413" s="232"/>
      <c r="E413" s="232"/>
      <c r="F413" s="235"/>
      <c r="G413" s="235"/>
      <c r="H413" s="220"/>
      <c r="I413" s="220"/>
      <c r="J413" s="220"/>
      <c r="K413" s="96" t="s">
        <v>855</v>
      </c>
      <c r="L413" s="14" t="s">
        <v>175</v>
      </c>
      <c r="M413" s="235"/>
      <c r="N413" s="235"/>
    </row>
    <row r="414" spans="1:14" x14ac:dyDescent="0.25">
      <c r="A414" s="235"/>
      <c r="B414" s="235"/>
      <c r="C414" s="235"/>
      <c r="D414" s="232"/>
      <c r="E414" s="232"/>
      <c r="F414" s="235"/>
      <c r="G414" s="235"/>
      <c r="H414" s="220"/>
      <c r="I414" s="220"/>
      <c r="J414" s="220"/>
      <c r="K414" s="96" t="s">
        <v>857</v>
      </c>
      <c r="L414" s="35">
        <v>46387</v>
      </c>
      <c r="M414" s="235"/>
      <c r="N414" s="235"/>
    </row>
    <row r="415" spans="1:14" x14ac:dyDescent="0.25">
      <c r="A415" s="235"/>
      <c r="B415" s="235"/>
      <c r="C415" s="235"/>
      <c r="D415" s="232"/>
      <c r="E415" s="232"/>
      <c r="F415" s="235"/>
      <c r="G415" s="235"/>
      <c r="H415" s="220"/>
      <c r="I415" s="220"/>
      <c r="J415" s="220"/>
      <c r="K415" s="96" t="s">
        <v>858</v>
      </c>
      <c r="L415" s="35">
        <v>46336</v>
      </c>
      <c r="M415" s="235"/>
      <c r="N415" s="235"/>
    </row>
    <row r="416" spans="1:14" x14ac:dyDescent="0.25">
      <c r="A416" s="259"/>
      <c r="B416" s="259"/>
      <c r="C416" s="259"/>
      <c r="D416" s="261"/>
      <c r="E416" s="261"/>
      <c r="F416" s="259"/>
      <c r="G416" s="259"/>
      <c r="H416" s="221"/>
      <c r="I416" s="221"/>
      <c r="J416" s="221"/>
      <c r="K416" s="96" t="s">
        <v>859</v>
      </c>
      <c r="L416" s="19" t="s">
        <v>267</v>
      </c>
      <c r="M416" s="259"/>
      <c r="N416" s="259"/>
    </row>
  </sheetData>
  <mergeCells count="398">
    <mergeCell ref="A400:A404"/>
    <mergeCell ref="B400:B404"/>
    <mergeCell ref="C400:C404"/>
    <mergeCell ref="D400:D404"/>
    <mergeCell ref="E400:E404"/>
    <mergeCell ref="M412:M416"/>
    <mergeCell ref="N412:N416"/>
    <mergeCell ref="F412:F416"/>
    <mergeCell ref="G412:G416"/>
    <mergeCell ref="H412:H416"/>
    <mergeCell ref="I412:I416"/>
    <mergeCell ref="J412:J416"/>
    <mergeCell ref="A412:A416"/>
    <mergeCell ref="B412:B416"/>
    <mergeCell ref="C412:C416"/>
    <mergeCell ref="D412:D416"/>
    <mergeCell ref="E412:E416"/>
    <mergeCell ref="A383:A390"/>
    <mergeCell ref="B383:B390"/>
    <mergeCell ref="C383:C390"/>
    <mergeCell ref="D383:D390"/>
    <mergeCell ref="E383:E390"/>
    <mergeCell ref="M400:M404"/>
    <mergeCell ref="N400:N404"/>
    <mergeCell ref="M406:M410"/>
    <mergeCell ref="N406:N410"/>
    <mergeCell ref="A406:A410"/>
    <mergeCell ref="B406:B410"/>
    <mergeCell ref="C406:C410"/>
    <mergeCell ref="D406:D410"/>
    <mergeCell ref="E406:E410"/>
    <mergeCell ref="F406:F410"/>
    <mergeCell ref="G406:G410"/>
    <mergeCell ref="H406:H410"/>
    <mergeCell ref="I406:I410"/>
    <mergeCell ref="J406:J410"/>
    <mergeCell ref="F400:F404"/>
    <mergeCell ref="G400:G404"/>
    <mergeCell ref="H400:H404"/>
    <mergeCell ref="I400:I404"/>
    <mergeCell ref="J400:J404"/>
    <mergeCell ref="A363:A371"/>
    <mergeCell ref="B363:B371"/>
    <mergeCell ref="C363:C371"/>
    <mergeCell ref="D363:D371"/>
    <mergeCell ref="E363:E371"/>
    <mergeCell ref="M383:M390"/>
    <mergeCell ref="N383:N390"/>
    <mergeCell ref="M392:M398"/>
    <mergeCell ref="N392:N398"/>
    <mergeCell ref="A392:A398"/>
    <mergeCell ref="B392:B398"/>
    <mergeCell ref="C392:C398"/>
    <mergeCell ref="D392:D398"/>
    <mergeCell ref="E392:E398"/>
    <mergeCell ref="F392:F398"/>
    <mergeCell ref="G392:G398"/>
    <mergeCell ref="H392:H398"/>
    <mergeCell ref="I392:I398"/>
    <mergeCell ref="J392:J398"/>
    <mergeCell ref="F383:F390"/>
    <mergeCell ref="G383:G390"/>
    <mergeCell ref="H383:H390"/>
    <mergeCell ref="I383:I390"/>
    <mergeCell ref="J383:J390"/>
    <mergeCell ref="A346:A351"/>
    <mergeCell ref="B346:B351"/>
    <mergeCell ref="C346:C351"/>
    <mergeCell ref="D346:D351"/>
    <mergeCell ref="E346:E351"/>
    <mergeCell ref="M363:M371"/>
    <mergeCell ref="N363:N371"/>
    <mergeCell ref="M373:M381"/>
    <mergeCell ref="N373:N381"/>
    <mergeCell ref="A373:A381"/>
    <mergeCell ref="B373:B381"/>
    <mergeCell ref="C373:C381"/>
    <mergeCell ref="D373:D381"/>
    <mergeCell ref="E373:E381"/>
    <mergeCell ref="F373:F381"/>
    <mergeCell ref="G373:G381"/>
    <mergeCell ref="H373:H381"/>
    <mergeCell ref="I373:I381"/>
    <mergeCell ref="J373:J381"/>
    <mergeCell ref="F363:F371"/>
    <mergeCell ref="G363:G371"/>
    <mergeCell ref="H363:H371"/>
    <mergeCell ref="I363:I371"/>
    <mergeCell ref="J363:J371"/>
    <mergeCell ref="A320:A331"/>
    <mergeCell ref="B320:B331"/>
    <mergeCell ref="C320:C331"/>
    <mergeCell ref="D320:D331"/>
    <mergeCell ref="E320:E331"/>
    <mergeCell ref="M346:M351"/>
    <mergeCell ref="N346:N351"/>
    <mergeCell ref="M353:M361"/>
    <mergeCell ref="N353:N361"/>
    <mergeCell ref="A353:A361"/>
    <mergeCell ref="B353:B361"/>
    <mergeCell ref="C353:C361"/>
    <mergeCell ref="D353:D361"/>
    <mergeCell ref="E353:E361"/>
    <mergeCell ref="F353:F361"/>
    <mergeCell ref="G353:G361"/>
    <mergeCell ref="H353:H361"/>
    <mergeCell ref="I353:I361"/>
    <mergeCell ref="J353:J361"/>
    <mergeCell ref="F346:F351"/>
    <mergeCell ref="G346:G351"/>
    <mergeCell ref="H346:H351"/>
    <mergeCell ref="I346:I351"/>
    <mergeCell ref="J346:J351"/>
    <mergeCell ref="A294:A305"/>
    <mergeCell ref="B294:B305"/>
    <mergeCell ref="C294:C305"/>
    <mergeCell ref="D294:D305"/>
    <mergeCell ref="E294:E305"/>
    <mergeCell ref="M320:M331"/>
    <mergeCell ref="N320:N331"/>
    <mergeCell ref="M333:M344"/>
    <mergeCell ref="N333:N344"/>
    <mergeCell ref="A333:A344"/>
    <mergeCell ref="B333:B344"/>
    <mergeCell ref="C333:C344"/>
    <mergeCell ref="D333:D344"/>
    <mergeCell ref="E333:E344"/>
    <mergeCell ref="F333:F344"/>
    <mergeCell ref="G333:G344"/>
    <mergeCell ref="H333:H344"/>
    <mergeCell ref="I333:I344"/>
    <mergeCell ref="J333:J344"/>
    <mergeCell ref="F320:F331"/>
    <mergeCell ref="G320:G331"/>
    <mergeCell ref="H320:H331"/>
    <mergeCell ref="I320:I331"/>
    <mergeCell ref="J320:J331"/>
    <mergeCell ref="A273:A279"/>
    <mergeCell ref="B273:B279"/>
    <mergeCell ref="C273:C279"/>
    <mergeCell ref="D273:D279"/>
    <mergeCell ref="E273:E279"/>
    <mergeCell ref="M294:M305"/>
    <mergeCell ref="N294:N305"/>
    <mergeCell ref="M307:M318"/>
    <mergeCell ref="N307:N318"/>
    <mergeCell ref="A307:A318"/>
    <mergeCell ref="B307:B318"/>
    <mergeCell ref="C307:C318"/>
    <mergeCell ref="D307:D318"/>
    <mergeCell ref="E307:E318"/>
    <mergeCell ref="F307:F318"/>
    <mergeCell ref="G307:G318"/>
    <mergeCell ref="H307:H318"/>
    <mergeCell ref="I307:I318"/>
    <mergeCell ref="J307:J318"/>
    <mergeCell ref="F294:F305"/>
    <mergeCell ref="G294:G305"/>
    <mergeCell ref="H294:H305"/>
    <mergeCell ref="I294:I305"/>
    <mergeCell ref="J294:J305"/>
    <mergeCell ref="A254:A262"/>
    <mergeCell ref="B254:B262"/>
    <mergeCell ref="C254:C262"/>
    <mergeCell ref="D254:D262"/>
    <mergeCell ref="E254:E262"/>
    <mergeCell ref="M273:M279"/>
    <mergeCell ref="N273:N279"/>
    <mergeCell ref="M281:M292"/>
    <mergeCell ref="N281:N292"/>
    <mergeCell ref="A281:A292"/>
    <mergeCell ref="B281:B292"/>
    <mergeCell ref="C281:C292"/>
    <mergeCell ref="D281:D292"/>
    <mergeCell ref="E281:E292"/>
    <mergeCell ref="F281:F292"/>
    <mergeCell ref="G281:G292"/>
    <mergeCell ref="H281:H292"/>
    <mergeCell ref="I281:I292"/>
    <mergeCell ref="J281:J292"/>
    <mergeCell ref="F273:F279"/>
    <mergeCell ref="G273:G279"/>
    <mergeCell ref="H273:H279"/>
    <mergeCell ref="I273:I279"/>
    <mergeCell ref="J273:J279"/>
    <mergeCell ref="A233:A242"/>
    <mergeCell ref="B233:B242"/>
    <mergeCell ref="C233:C242"/>
    <mergeCell ref="D233:D242"/>
    <mergeCell ref="E233:E242"/>
    <mergeCell ref="M254:M262"/>
    <mergeCell ref="N254:N262"/>
    <mergeCell ref="M264:M271"/>
    <mergeCell ref="N264:N271"/>
    <mergeCell ref="A264:A271"/>
    <mergeCell ref="B264:B271"/>
    <mergeCell ref="C264:C271"/>
    <mergeCell ref="D264:D271"/>
    <mergeCell ref="E264:E271"/>
    <mergeCell ref="F264:F271"/>
    <mergeCell ref="G264:G271"/>
    <mergeCell ref="H264:H271"/>
    <mergeCell ref="I264:I271"/>
    <mergeCell ref="J264:J271"/>
    <mergeCell ref="F254:F262"/>
    <mergeCell ref="G254:G262"/>
    <mergeCell ref="H254:H262"/>
    <mergeCell ref="I254:I262"/>
    <mergeCell ref="J254:J262"/>
    <mergeCell ref="A203:A220"/>
    <mergeCell ref="B203:B220"/>
    <mergeCell ref="C203:C220"/>
    <mergeCell ref="D203:D220"/>
    <mergeCell ref="E203:E220"/>
    <mergeCell ref="M233:M242"/>
    <mergeCell ref="N233:N242"/>
    <mergeCell ref="M244:M252"/>
    <mergeCell ref="N244:N252"/>
    <mergeCell ref="A244:A252"/>
    <mergeCell ref="B244:B252"/>
    <mergeCell ref="C244:C252"/>
    <mergeCell ref="D244:D252"/>
    <mergeCell ref="E244:E252"/>
    <mergeCell ref="F244:F252"/>
    <mergeCell ref="G244:G252"/>
    <mergeCell ref="H244:H252"/>
    <mergeCell ref="I244:I252"/>
    <mergeCell ref="J244:J252"/>
    <mergeCell ref="F233:F242"/>
    <mergeCell ref="G233:G242"/>
    <mergeCell ref="H233:H242"/>
    <mergeCell ref="I233:I242"/>
    <mergeCell ref="J233:J242"/>
    <mergeCell ref="A166:A182"/>
    <mergeCell ref="B166:B182"/>
    <mergeCell ref="C166:C182"/>
    <mergeCell ref="D166:D182"/>
    <mergeCell ref="E166:E182"/>
    <mergeCell ref="M203:M220"/>
    <mergeCell ref="N203:N220"/>
    <mergeCell ref="M222:M231"/>
    <mergeCell ref="N222:N231"/>
    <mergeCell ref="A222:A231"/>
    <mergeCell ref="B222:B231"/>
    <mergeCell ref="C222:C231"/>
    <mergeCell ref="D222:D231"/>
    <mergeCell ref="E222:E231"/>
    <mergeCell ref="F222:F231"/>
    <mergeCell ref="G222:G231"/>
    <mergeCell ref="H222:H231"/>
    <mergeCell ref="I222:I231"/>
    <mergeCell ref="J222:J231"/>
    <mergeCell ref="F203:F220"/>
    <mergeCell ref="G203:G220"/>
    <mergeCell ref="H203:H220"/>
    <mergeCell ref="I203:I220"/>
    <mergeCell ref="J203:J220"/>
    <mergeCell ref="A132:A147"/>
    <mergeCell ref="B132:B147"/>
    <mergeCell ref="C132:C147"/>
    <mergeCell ref="D132:D147"/>
    <mergeCell ref="E132:E147"/>
    <mergeCell ref="M166:M182"/>
    <mergeCell ref="N166:N182"/>
    <mergeCell ref="M184:M201"/>
    <mergeCell ref="N184:N201"/>
    <mergeCell ref="A184:A201"/>
    <mergeCell ref="B184:B201"/>
    <mergeCell ref="C184:C201"/>
    <mergeCell ref="D184:D201"/>
    <mergeCell ref="E184:E201"/>
    <mergeCell ref="F184:F201"/>
    <mergeCell ref="G184:G201"/>
    <mergeCell ref="H184:H201"/>
    <mergeCell ref="I184:I201"/>
    <mergeCell ref="J184:J201"/>
    <mergeCell ref="F166:F182"/>
    <mergeCell ref="G166:G182"/>
    <mergeCell ref="H166:H182"/>
    <mergeCell ref="I166:I182"/>
    <mergeCell ref="J166:J182"/>
    <mergeCell ref="A96:A113"/>
    <mergeCell ref="B96:B113"/>
    <mergeCell ref="C96:C113"/>
    <mergeCell ref="D96:D113"/>
    <mergeCell ref="E96:E113"/>
    <mergeCell ref="M132:M147"/>
    <mergeCell ref="N132:N147"/>
    <mergeCell ref="M149:M164"/>
    <mergeCell ref="N149:N164"/>
    <mergeCell ref="A149:A164"/>
    <mergeCell ref="B149:B164"/>
    <mergeCell ref="C149:C164"/>
    <mergeCell ref="D149:D164"/>
    <mergeCell ref="E149:E164"/>
    <mergeCell ref="F149:F164"/>
    <mergeCell ref="G149:G164"/>
    <mergeCell ref="H149:H164"/>
    <mergeCell ref="I149:I164"/>
    <mergeCell ref="J149:J164"/>
    <mergeCell ref="F132:F147"/>
    <mergeCell ref="G132:G147"/>
    <mergeCell ref="H132:H147"/>
    <mergeCell ref="I132:I147"/>
    <mergeCell ref="J132:J147"/>
    <mergeCell ref="J77:J94"/>
    <mergeCell ref="M77:M94"/>
    <mergeCell ref="N77:N94"/>
    <mergeCell ref="M96:M113"/>
    <mergeCell ref="N96:N113"/>
    <mergeCell ref="D77:D94"/>
    <mergeCell ref="E77:E94"/>
    <mergeCell ref="F77:F94"/>
    <mergeCell ref="G77:G94"/>
    <mergeCell ref="H77:H94"/>
    <mergeCell ref="F96:F113"/>
    <mergeCell ref="G96:G113"/>
    <mergeCell ref="H96:H113"/>
    <mergeCell ref="I96:I113"/>
    <mergeCell ref="J96:J113"/>
    <mergeCell ref="B59:B75"/>
    <mergeCell ref="A59:A75"/>
    <mergeCell ref="C77:C94"/>
    <mergeCell ref="G59:G75"/>
    <mergeCell ref="F59:F75"/>
    <mergeCell ref="E59:E75"/>
    <mergeCell ref="D59:D75"/>
    <mergeCell ref="C59:C75"/>
    <mergeCell ref="I77:I94"/>
    <mergeCell ref="A42:A57"/>
    <mergeCell ref="B42:B57"/>
    <mergeCell ref="C42:C57"/>
    <mergeCell ref="D42:D57"/>
    <mergeCell ref="E42:E57"/>
    <mergeCell ref="F42:F57"/>
    <mergeCell ref="G42:G57"/>
    <mergeCell ref="H42:H57"/>
    <mergeCell ref="I42:I57"/>
    <mergeCell ref="F3:F6"/>
    <mergeCell ref="E3:E6"/>
    <mergeCell ref="M25:M40"/>
    <mergeCell ref="N25:N40"/>
    <mergeCell ref="J42:J57"/>
    <mergeCell ref="M42:M57"/>
    <mergeCell ref="N42:N57"/>
    <mergeCell ref="F25:F40"/>
    <mergeCell ref="G25:G40"/>
    <mergeCell ref="H25:H40"/>
    <mergeCell ref="I25:I40"/>
    <mergeCell ref="J25:J40"/>
    <mergeCell ref="A1:N1"/>
    <mergeCell ref="K2:L2"/>
    <mergeCell ref="N3:N6"/>
    <mergeCell ref="M3:M6"/>
    <mergeCell ref="J8:J23"/>
    <mergeCell ref="I8:I23"/>
    <mergeCell ref="H8:H23"/>
    <mergeCell ref="G8:G23"/>
    <mergeCell ref="F8:F23"/>
    <mergeCell ref="E8:E23"/>
    <mergeCell ref="D8:D23"/>
    <mergeCell ref="C8:C23"/>
    <mergeCell ref="B8:B23"/>
    <mergeCell ref="A8:A23"/>
    <mergeCell ref="M8:M23"/>
    <mergeCell ref="D3:D6"/>
    <mergeCell ref="N8:N23"/>
    <mergeCell ref="C3:C6"/>
    <mergeCell ref="B3:B6"/>
    <mergeCell ref="A3:A6"/>
    <mergeCell ref="J3:J6"/>
    <mergeCell ref="I3:I6"/>
    <mergeCell ref="H3:H6"/>
    <mergeCell ref="G3:G6"/>
    <mergeCell ref="J115:J130"/>
    <mergeCell ref="M115:M130"/>
    <mergeCell ref="N115:N130"/>
    <mergeCell ref="A25:A40"/>
    <mergeCell ref="D25:D40"/>
    <mergeCell ref="E25:E40"/>
    <mergeCell ref="B25:B40"/>
    <mergeCell ref="C25:C40"/>
    <mergeCell ref="A77:A94"/>
    <mergeCell ref="B77:B94"/>
    <mergeCell ref="A115:A130"/>
    <mergeCell ref="B115:B130"/>
    <mergeCell ref="C115:C130"/>
    <mergeCell ref="D115:D130"/>
    <mergeCell ref="E115:E130"/>
    <mergeCell ref="F115:F130"/>
    <mergeCell ref="G115:G130"/>
    <mergeCell ref="H115:H130"/>
    <mergeCell ref="I115:I130"/>
    <mergeCell ref="N59:N75"/>
    <mergeCell ref="M59:M75"/>
    <mergeCell ref="J59:J75"/>
    <mergeCell ref="I59:I75"/>
    <mergeCell ref="H59:H75"/>
  </mergeCell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C4E14FB9-0EFC-4F24-BF1E-1A8F12FAF231}">
          <x14:formula1>
            <xm:f>Introduction!$AP$17:$AP$21</xm:f>
          </x14:formula1>
          <xm:sqref>L51 L69 L107 L158 L176 L88 L214 L195 L222 L285 L298 L324 L337 L347 L401 L407 L413</xm:sqref>
        </x14:dataValidation>
        <x14:dataValidation type="list" allowBlank="1" showInputMessage="1" showErrorMessage="1" xr:uid="{8705FE5B-9E90-4AE9-BB21-1251CC5D2D42}">
          <x14:formula1>
            <xm:f>Introduction!$AM$17:$AM$26</xm:f>
          </x14:formula1>
          <xm:sqref>L48 L65 L102 L155 L172 L83 L209 L190 L287 L300 L326 L339 L400 L406 L412</xm:sqref>
        </x14:dataValidation>
        <x14:dataValidation type="list" allowBlank="1" showInputMessage="1" showErrorMessage="1" xr:uid="{5D4F9E7A-E0C4-426A-A78F-9FDA2B00155E}">
          <x14:formula1>
            <xm:f>Introduction!$AN$17:$AN$21</xm:f>
          </x14:formula1>
          <xm:sqref>L56 L74 L112 L163 L181 L93 L219 L200</xm:sqref>
        </x14:dataValidation>
        <x14:dataValidation type="list" allowBlank="1" showInputMessage="1" showErrorMessage="1" xr:uid="{181E5351-EEC0-40AB-B5F0-764737F47BAC}">
          <x14:formula1>
            <xm:f>Introduction!$AI$17:$AI$21</xm:f>
          </x14:formula1>
          <xm:sqref>L45 L62 L99 L152 L169 L80 L206 L187 L237 L248 L258</xm:sqref>
        </x14:dataValidation>
        <x14:dataValidation type="list" allowBlank="1" showInputMessage="1" showErrorMessage="1" xr:uid="{1554FBD0-D41D-4AB4-B6A6-7B6AE5FFB53F}">
          <x14:formula1>
            <xm:f>Introduction!$AH$17:$AH$20</xm:f>
          </x14:formula1>
          <xm:sqref>L42 L59 L96 L149 L166 L77 L203 L184 L264 L273</xm:sqref>
        </x14:dataValidation>
        <x14:dataValidation type="list" allowBlank="1" showInputMessage="1" showErrorMessage="1" xr:uid="{67CAB2D4-8A61-48E1-A031-036C754DA9DC}">
          <x14:formula1>
            <xm:f>Introduction!$AR$16:$AR$20</xm:f>
          </x14:formula1>
          <xm:sqref>L224 L233 L244 L254</xm:sqref>
        </x14:dataValidation>
        <x14:dataValidation type="list" allowBlank="1" showInputMessage="1" showErrorMessage="1" xr:uid="{8F79E2FD-9953-4480-8CE3-F6F67A4543F4}">
          <x14:formula1>
            <xm:f>Introduction!$AW$15:$AW$19</xm:f>
          </x14:formula1>
          <xm:sqref>L281 L294 L320 L333 L353 L363 L373 L383 L392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1D4D-5A76-4510-917A-C68AE9924E11}">
  <sheetPr codeName="Sheet4"/>
  <dimension ref="A1:O31"/>
  <sheetViews>
    <sheetView zoomScale="81" zoomScaleNormal="90" workbookViewId="0">
      <pane xSplit="1" ySplit="2" topLeftCell="B3" activePane="bottomRight" state="frozen"/>
      <selection pane="topRight" activeCell="B1" sqref="B1"/>
      <selection pane="bottomLeft" activeCell="A3" sqref="A3"/>
      <selection pane="bottomRight" activeCell="C24" sqref="C24:C26"/>
    </sheetView>
  </sheetViews>
  <sheetFormatPr defaultRowHeight="14.4" x14ac:dyDescent="0.3"/>
  <cols>
    <col min="1" max="1" width="6.6640625" style="17" bestFit="1" customWidth="1"/>
    <col min="2" max="2" width="21.21875" style="17" customWidth="1"/>
    <col min="3" max="3" width="28.6640625" style="17" customWidth="1"/>
    <col min="4" max="4" width="8.33203125" style="17" bestFit="1" customWidth="1"/>
    <col min="5" max="5" width="34.33203125" style="1" bestFit="1" customWidth="1"/>
    <col min="6" max="6" width="18" style="17" bestFit="1" customWidth="1"/>
    <col min="7" max="7" width="35.33203125" style="3" customWidth="1"/>
    <col min="8" max="8" width="39.21875" style="3" customWidth="1"/>
    <col min="9" max="9" width="7" style="17" bestFit="1" customWidth="1"/>
    <col min="10" max="10" width="8.77734375" style="52" bestFit="1" customWidth="1"/>
    <col min="11" max="16384" width="8.88671875" style="1"/>
  </cols>
  <sheetData>
    <row r="1" spans="1:15" ht="37.799999999999997" customHeight="1" x14ac:dyDescent="0.3">
      <c r="A1" s="209" t="s">
        <v>23</v>
      </c>
      <c r="B1" s="272"/>
      <c r="C1" s="272"/>
      <c r="D1" s="272"/>
      <c r="E1" s="272"/>
      <c r="F1" s="272"/>
      <c r="G1" s="272"/>
      <c r="H1" s="272"/>
      <c r="I1" s="272"/>
      <c r="J1" s="273"/>
      <c r="L1" s="64" t="s">
        <v>37</v>
      </c>
      <c r="M1" s="66">
        <f>COUNTIF(J:J,L1)</f>
        <v>5</v>
      </c>
      <c r="N1" s="65" t="s">
        <v>182</v>
      </c>
      <c r="O1" s="66">
        <f>COUNTIF(J:J,N1)</f>
        <v>1</v>
      </c>
    </row>
    <row r="2" spans="1:15" x14ac:dyDescent="0.3">
      <c r="A2" s="15" t="s">
        <v>24</v>
      </c>
      <c r="B2" s="13" t="s">
        <v>25</v>
      </c>
      <c r="C2" s="13" t="s">
        <v>18</v>
      </c>
      <c r="D2" s="13" t="s">
        <v>26</v>
      </c>
      <c r="E2" s="13" t="s">
        <v>27</v>
      </c>
      <c r="F2" s="13" t="s">
        <v>28</v>
      </c>
      <c r="G2" s="18" t="s">
        <v>29</v>
      </c>
      <c r="H2" s="18" t="s">
        <v>30</v>
      </c>
      <c r="I2" s="13" t="s">
        <v>31</v>
      </c>
      <c r="J2" s="16" t="s">
        <v>32</v>
      </c>
    </row>
    <row r="3" spans="1:15" ht="14.4" customHeight="1" x14ac:dyDescent="0.3">
      <c r="A3" s="158" t="s">
        <v>33</v>
      </c>
      <c r="B3" s="161" t="s">
        <v>819</v>
      </c>
      <c r="C3" s="161" t="s">
        <v>22</v>
      </c>
      <c r="D3" s="14">
        <v>1</v>
      </c>
      <c r="E3" s="4" t="s">
        <v>34</v>
      </c>
      <c r="F3" s="14" t="s">
        <v>35</v>
      </c>
      <c r="G3" s="5" t="s">
        <v>222</v>
      </c>
      <c r="H3" s="5" t="s">
        <v>36</v>
      </c>
      <c r="I3" s="14" t="s">
        <v>37</v>
      </c>
      <c r="J3" s="169" t="s">
        <v>37</v>
      </c>
    </row>
    <row r="4" spans="1:15" ht="17.399999999999999" customHeight="1" x14ac:dyDescent="0.3">
      <c r="A4" s="158"/>
      <c r="B4" s="161"/>
      <c r="C4" s="161"/>
      <c r="D4" s="14">
        <v>2</v>
      </c>
      <c r="E4" s="4" t="s">
        <v>38</v>
      </c>
      <c r="F4" s="14" t="s">
        <v>35</v>
      </c>
      <c r="G4" s="5" t="s">
        <v>223</v>
      </c>
      <c r="H4" s="5" t="s">
        <v>36</v>
      </c>
      <c r="I4" s="14" t="s">
        <v>37</v>
      </c>
      <c r="J4" s="169"/>
    </row>
    <row r="5" spans="1:15" x14ac:dyDescent="0.3">
      <c r="A5" s="158"/>
      <c r="B5" s="161"/>
      <c r="C5" s="161"/>
      <c r="D5" s="14">
        <v>3</v>
      </c>
      <c r="E5" s="4" t="s">
        <v>39</v>
      </c>
      <c r="F5" s="14" t="s">
        <v>40</v>
      </c>
      <c r="G5" s="5" t="s">
        <v>101</v>
      </c>
      <c r="H5" s="5" t="s">
        <v>41</v>
      </c>
      <c r="I5" s="14" t="s">
        <v>37</v>
      </c>
      <c r="J5" s="169"/>
    </row>
    <row r="6" spans="1:15" ht="34.200000000000003" customHeight="1" x14ac:dyDescent="0.3">
      <c r="A6" s="158"/>
      <c r="B6" s="161"/>
      <c r="C6" s="161"/>
      <c r="D6" s="14">
        <v>4</v>
      </c>
      <c r="E6" s="4" t="s">
        <v>42</v>
      </c>
      <c r="F6" s="19" t="s">
        <v>43</v>
      </c>
      <c r="G6" s="5" t="s">
        <v>44</v>
      </c>
      <c r="H6" s="5" t="s">
        <v>45</v>
      </c>
      <c r="I6" s="14" t="s">
        <v>37</v>
      </c>
      <c r="J6" s="169"/>
    </row>
    <row r="7" spans="1:15" ht="28.8" x14ac:dyDescent="0.3">
      <c r="A7" s="158"/>
      <c r="B7" s="161"/>
      <c r="C7" s="161"/>
      <c r="D7" s="14">
        <v>5</v>
      </c>
      <c r="E7" s="4" t="s">
        <v>46</v>
      </c>
      <c r="F7" s="19" t="s">
        <v>43</v>
      </c>
      <c r="G7" s="5" t="s">
        <v>220</v>
      </c>
      <c r="H7" s="5" t="s">
        <v>221</v>
      </c>
      <c r="I7" s="14" t="s">
        <v>37</v>
      </c>
      <c r="J7" s="169"/>
    </row>
    <row r="8" spans="1:15" x14ac:dyDescent="0.3">
      <c r="A8" s="158"/>
      <c r="B8" s="161"/>
      <c r="C8" s="161"/>
      <c r="D8" s="271"/>
      <c r="E8" s="271"/>
      <c r="F8" s="271"/>
      <c r="G8" s="271"/>
      <c r="H8" s="271"/>
      <c r="I8" s="271"/>
      <c r="J8" s="164"/>
    </row>
    <row r="9" spans="1:15" x14ac:dyDescent="0.3">
      <c r="A9" s="158" t="s">
        <v>47</v>
      </c>
      <c r="B9" s="161" t="s">
        <v>820</v>
      </c>
      <c r="C9" s="161" t="s">
        <v>22</v>
      </c>
      <c r="D9" s="14">
        <v>1</v>
      </c>
      <c r="E9" s="4" t="s">
        <v>48</v>
      </c>
      <c r="F9" s="14" t="s">
        <v>49</v>
      </c>
      <c r="G9" s="5" t="s">
        <v>222</v>
      </c>
      <c r="H9" s="5" t="s">
        <v>36</v>
      </c>
      <c r="I9" s="14" t="s">
        <v>37</v>
      </c>
      <c r="J9" s="169" t="s">
        <v>37</v>
      </c>
    </row>
    <row r="10" spans="1:15" x14ac:dyDescent="0.3">
      <c r="A10" s="158"/>
      <c r="B10" s="161"/>
      <c r="C10" s="161"/>
      <c r="D10" s="14">
        <v>2</v>
      </c>
      <c r="E10" s="4" t="s">
        <v>38</v>
      </c>
      <c r="F10" s="14" t="s">
        <v>35</v>
      </c>
      <c r="G10" s="5" t="s">
        <v>223</v>
      </c>
      <c r="H10" s="5" t="s">
        <v>36</v>
      </c>
      <c r="I10" s="14" t="s">
        <v>37</v>
      </c>
      <c r="J10" s="169"/>
    </row>
    <row r="11" spans="1:15" x14ac:dyDescent="0.3">
      <c r="A11" s="158"/>
      <c r="B11" s="161"/>
      <c r="C11" s="161"/>
      <c r="D11" s="14">
        <v>3</v>
      </c>
      <c r="E11" s="4" t="s">
        <v>39</v>
      </c>
      <c r="F11" s="14" t="s">
        <v>50</v>
      </c>
      <c r="G11" s="5" t="s">
        <v>101</v>
      </c>
      <c r="H11" s="5" t="s">
        <v>41</v>
      </c>
      <c r="I11" s="14" t="s">
        <v>37</v>
      </c>
      <c r="J11" s="169"/>
    </row>
    <row r="12" spans="1:15" ht="28.8" x14ac:dyDescent="0.3">
      <c r="A12" s="158"/>
      <c r="B12" s="161"/>
      <c r="C12" s="161"/>
      <c r="D12" s="14">
        <v>4</v>
      </c>
      <c r="E12" s="4" t="s">
        <v>42</v>
      </c>
      <c r="F12" s="19" t="s">
        <v>43</v>
      </c>
      <c r="G12" s="5" t="s">
        <v>51</v>
      </c>
      <c r="H12" s="5" t="s">
        <v>52</v>
      </c>
      <c r="I12" s="14" t="s">
        <v>37</v>
      </c>
      <c r="J12" s="169"/>
    </row>
    <row r="13" spans="1:15" x14ac:dyDescent="0.3">
      <c r="A13" s="158"/>
      <c r="B13" s="161"/>
      <c r="C13" s="161"/>
      <c r="D13" s="271"/>
      <c r="E13" s="271"/>
      <c r="F13" s="271"/>
      <c r="G13" s="271"/>
      <c r="H13" s="271"/>
      <c r="I13" s="271"/>
      <c r="J13" s="164"/>
    </row>
    <row r="14" spans="1:15" x14ac:dyDescent="0.3">
      <c r="A14" s="158" t="s">
        <v>53</v>
      </c>
      <c r="B14" s="161" t="s">
        <v>821</v>
      </c>
      <c r="C14" s="161" t="s">
        <v>22</v>
      </c>
      <c r="D14" s="14">
        <v>1</v>
      </c>
      <c r="E14" s="4" t="s">
        <v>34</v>
      </c>
      <c r="F14" s="14" t="s">
        <v>35</v>
      </c>
      <c r="G14" s="5" t="s">
        <v>222</v>
      </c>
      <c r="H14" s="5" t="s">
        <v>36</v>
      </c>
      <c r="I14" s="14" t="s">
        <v>37</v>
      </c>
      <c r="J14" s="169" t="s">
        <v>37</v>
      </c>
    </row>
    <row r="15" spans="1:15" x14ac:dyDescent="0.3">
      <c r="A15" s="158"/>
      <c r="B15" s="161"/>
      <c r="C15" s="161"/>
      <c r="D15" s="14">
        <v>2</v>
      </c>
      <c r="E15" s="4" t="s">
        <v>54</v>
      </c>
      <c r="F15" s="14" t="s">
        <v>49</v>
      </c>
      <c r="G15" s="5" t="s">
        <v>223</v>
      </c>
      <c r="H15" s="5" t="s">
        <v>36</v>
      </c>
      <c r="I15" s="14" t="s">
        <v>37</v>
      </c>
      <c r="J15" s="169"/>
    </row>
    <row r="16" spans="1:15" x14ac:dyDescent="0.3">
      <c r="A16" s="158"/>
      <c r="B16" s="161"/>
      <c r="C16" s="161"/>
      <c r="D16" s="14">
        <v>3</v>
      </c>
      <c r="E16" s="4" t="s">
        <v>39</v>
      </c>
      <c r="F16" s="14" t="s">
        <v>55</v>
      </c>
      <c r="G16" s="5" t="s">
        <v>101</v>
      </c>
      <c r="H16" s="5" t="s">
        <v>41</v>
      </c>
      <c r="I16" s="14" t="s">
        <v>37</v>
      </c>
      <c r="J16" s="169"/>
    </row>
    <row r="17" spans="1:10" ht="28.8" x14ac:dyDescent="0.3">
      <c r="A17" s="158"/>
      <c r="B17" s="161"/>
      <c r="C17" s="161"/>
      <c r="D17" s="14">
        <v>4</v>
      </c>
      <c r="E17" s="4" t="s">
        <v>42</v>
      </c>
      <c r="F17" s="19" t="s">
        <v>43</v>
      </c>
      <c r="G17" s="5" t="s">
        <v>51</v>
      </c>
      <c r="H17" s="5" t="s">
        <v>52</v>
      </c>
      <c r="I17" s="14" t="s">
        <v>37</v>
      </c>
      <c r="J17" s="169"/>
    </row>
    <row r="18" spans="1:10" x14ac:dyDescent="0.3">
      <c r="A18" s="158"/>
      <c r="B18" s="161"/>
      <c r="C18" s="161"/>
      <c r="D18" s="271"/>
      <c r="E18" s="271"/>
      <c r="F18" s="271"/>
      <c r="G18" s="271"/>
      <c r="H18" s="271"/>
      <c r="I18" s="271"/>
      <c r="J18" s="164"/>
    </row>
    <row r="19" spans="1:10" x14ac:dyDescent="0.3">
      <c r="A19" s="262" t="s">
        <v>56</v>
      </c>
      <c r="B19" s="263" t="s">
        <v>822</v>
      </c>
      <c r="C19" s="263" t="s">
        <v>22</v>
      </c>
      <c r="D19" s="20">
        <v>1</v>
      </c>
      <c r="E19" s="21" t="s">
        <v>48</v>
      </c>
      <c r="F19" s="20" t="s">
        <v>49</v>
      </c>
      <c r="G19" s="22" t="s">
        <v>222</v>
      </c>
      <c r="H19" s="22" t="s">
        <v>36</v>
      </c>
      <c r="I19" s="20" t="s">
        <v>37</v>
      </c>
      <c r="J19" s="264" t="s">
        <v>37</v>
      </c>
    </row>
    <row r="20" spans="1:10" x14ac:dyDescent="0.3">
      <c r="A20" s="262"/>
      <c r="B20" s="263"/>
      <c r="C20" s="263"/>
      <c r="D20" s="20">
        <v>2</v>
      </c>
      <c r="E20" s="21" t="s">
        <v>54</v>
      </c>
      <c r="F20" s="20" t="s">
        <v>57</v>
      </c>
      <c r="G20" s="22" t="s">
        <v>223</v>
      </c>
      <c r="H20" s="22" t="s">
        <v>36</v>
      </c>
      <c r="I20" s="20" t="s">
        <v>37</v>
      </c>
      <c r="J20" s="264"/>
    </row>
    <row r="21" spans="1:10" x14ac:dyDescent="0.3">
      <c r="A21" s="262"/>
      <c r="B21" s="263"/>
      <c r="C21" s="263"/>
      <c r="D21" s="20">
        <v>3</v>
      </c>
      <c r="E21" s="21" t="s">
        <v>39</v>
      </c>
      <c r="F21" s="20" t="s">
        <v>58</v>
      </c>
      <c r="G21" s="22" t="s">
        <v>101</v>
      </c>
      <c r="H21" s="22" t="s">
        <v>41</v>
      </c>
      <c r="I21" s="20" t="s">
        <v>37</v>
      </c>
      <c r="J21" s="264"/>
    </row>
    <row r="22" spans="1:10" ht="28.8" x14ac:dyDescent="0.3">
      <c r="A22" s="262"/>
      <c r="B22" s="263"/>
      <c r="C22" s="263"/>
      <c r="D22" s="20">
        <v>4</v>
      </c>
      <c r="E22" s="21" t="s">
        <v>42</v>
      </c>
      <c r="F22" s="20" t="s">
        <v>43</v>
      </c>
      <c r="G22" s="22" t="s">
        <v>51</v>
      </c>
      <c r="H22" s="22" t="s">
        <v>52</v>
      </c>
      <c r="I22" s="20" t="s">
        <v>37</v>
      </c>
      <c r="J22" s="264"/>
    </row>
    <row r="23" spans="1:10" x14ac:dyDescent="0.3">
      <c r="A23" s="262"/>
      <c r="B23" s="263"/>
      <c r="C23" s="263"/>
      <c r="D23" s="265"/>
      <c r="E23" s="265"/>
      <c r="F23" s="265"/>
      <c r="G23" s="265"/>
      <c r="H23" s="265"/>
      <c r="I23" s="265"/>
      <c r="J23" s="266"/>
    </row>
    <row r="24" spans="1:10" x14ac:dyDescent="0.3">
      <c r="A24" s="262" t="s">
        <v>59</v>
      </c>
      <c r="B24" s="263" t="s">
        <v>823</v>
      </c>
      <c r="C24" s="263" t="s">
        <v>22</v>
      </c>
      <c r="D24" s="20">
        <v>1</v>
      </c>
      <c r="E24" s="21" t="s">
        <v>39</v>
      </c>
      <c r="F24" s="20" t="s">
        <v>58</v>
      </c>
      <c r="G24" s="22" t="s">
        <v>101</v>
      </c>
      <c r="H24" s="22" t="s">
        <v>41</v>
      </c>
      <c r="I24" s="20" t="s">
        <v>37</v>
      </c>
      <c r="J24" s="264" t="s">
        <v>37</v>
      </c>
    </row>
    <row r="25" spans="1:10" ht="28.8" x14ac:dyDescent="0.3">
      <c r="A25" s="262"/>
      <c r="B25" s="263"/>
      <c r="C25" s="263"/>
      <c r="D25" s="20">
        <v>2</v>
      </c>
      <c r="E25" s="21" t="s">
        <v>42</v>
      </c>
      <c r="F25" s="20" t="s">
        <v>43</v>
      </c>
      <c r="G25" s="22" t="s">
        <v>51</v>
      </c>
      <c r="H25" s="22" t="s">
        <v>52</v>
      </c>
      <c r="I25" s="20" t="s">
        <v>37</v>
      </c>
      <c r="J25" s="264"/>
    </row>
    <row r="26" spans="1:10" x14ac:dyDescent="0.3">
      <c r="A26" s="262"/>
      <c r="B26" s="263"/>
      <c r="C26" s="263"/>
      <c r="D26" s="265"/>
      <c r="E26" s="265"/>
      <c r="F26" s="265"/>
      <c r="G26" s="265"/>
      <c r="H26" s="265"/>
      <c r="I26" s="265"/>
      <c r="J26" s="266"/>
    </row>
    <row r="27" spans="1:10" x14ac:dyDescent="0.3">
      <c r="A27" s="262" t="s">
        <v>60</v>
      </c>
      <c r="B27" s="263" t="s">
        <v>61</v>
      </c>
      <c r="C27" s="263" t="s">
        <v>22</v>
      </c>
      <c r="D27" s="20">
        <v>1</v>
      </c>
      <c r="E27" s="21" t="s">
        <v>34</v>
      </c>
      <c r="F27" s="20" t="s">
        <v>35</v>
      </c>
      <c r="G27" s="22" t="s">
        <v>222</v>
      </c>
      <c r="H27" s="22" t="s">
        <v>36</v>
      </c>
      <c r="I27" s="20" t="s">
        <v>37</v>
      </c>
      <c r="J27" s="264" t="s">
        <v>182</v>
      </c>
    </row>
    <row r="28" spans="1:10" ht="28.8" x14ac:dyDescent="0.3">
      <c r="A28" s="262"/>
      <c r="B28" s="263"/>
      <c r="C28" s="263"/>
      <c r="D28" s="20">
        <v>2</v>
      </c>
      <c r="E28" s="21" t="s">
        <v>62</v>
      </c>
      <c r="F28" s="23" t="s">
        <v>43</v>
      </c>
      <c r="G28" s="22" t="s">
        <v>63</v>
      </c>
      <c r="H28" s="22" t="s">
        <v>64</v>
      </c>
      <c r="I28" s="20" t="s">
        <v>65</v>
      </c>
      <c r="J28" s="264"/>
    </row>
    <row r="29" spans="1:10" x14ac:dyDescent="0.3">
      <c r="A29" s="262"/>
      <c r="B29" s="263"/>
      <c r="C29" s="263"/>
      <c r="D29" s="20">
        <v>3</v>
      </c>
      <c r="E29" s="21" t="s">
        <v>39</v>
      </c>
      <c r="F29" s="20" t="s">
        <v>58</v>
      </c>
      <c r="G29" s="22" t="s">
        <v>101</v>
      </c>
      <c r="H29" s="22" t="s">
        <v>41</v>
      </c>
      <c r="I29" s="20" t="s">
        <v>37</v>
      </c>
      <c r="J29" s="264"/>
    </row>
    <row r="30" spans="1:10" ht="28.8" x14ac:dyDescent="0.3">
      <c r="A30" s="262"/>
      <c r="B30" s="263"/>
      <c r="C30" s="263"/>
      <c r="D30" s="20">
        <v>4</v>
      </c>
      <c r="E30" s="21" t="s">
        <v>42</v>
      </c>
      <c r="F30" s="20" t="s">
        <v>43</v>
      </c>
      <c r="G30" s="22" t="s">
        <v>66</v>
      </c>
      <c r="H30" s="22" t="s">
        <v>45</v>
      </c>
      <c r="I30" s="20" t="s">
        <v>65</v>
      </c>
      <c r="J30" s="264"/>
    </row>
    <row r="31" spans="1:10" ht="15" thickBot="1" x14ac:dyDescent="0.35">
      <c r="A31" s="267"/>
      <c r="B31" s="268"/>
      <c r="C31" s="268"/>
      <c r="D31" s="269"/>
      <c r="E31" s="269"/>
      <c r="F31" s="269"/>
      <c r="G31" s="269"/>
      <c r="H31" s="269"/>
      <c r="I31" s="269"/>
      <c r="J31" s="270"/>
    </row>
  </sheetData>
  <mergeCells count="31">
    <mergeCell ref="A9:A13"/>
    <mergeCell ref="B9:B13"/>
    <mergeCell ref="C9:C13"/>
    <mergeCell ref="J9:J12"/>
    <mergeCell ref="D13:J13"/>
    <mergeCell ref="J3:J7"/>
    <mergeCell ref="B3:B8"/>
    <mergeCell ref="A3:A8"/>
    <mergeCell ref="D8:J8"/>
    <mergeCell ref="A1:J1"/>
    <mergeCell ref="C3:C8"/>
    <mergeCell ref="A19:A23"/>
    <mergeCell ref="B19:B23"/>
    <mergeCell ref="C19:C23"/>
    <mergeCell ref="J19:J22"/>
    <mergeCell ref="D23:J23"/>
    <mergeCell ref="A14:A18"/>
    <mergeCell ref="B14:B18"/>
    <mergeCell ref="C14:C18"/>
    <mergeCell ref="J14:J17"/>
    <mergeCell ref="D18:J18"/>
    <mergeCell ref="A27:A31"/>
    <mergeCell ref="B27:B31"/>
    <mergeCell ref="C27:C31"/>
    <mergeCell ref="J27:J30"/>
    <mergeCell ref="D31:J31"/>
    <mergeCell ref="A24:A26"/>
    <mergeCell ref="B24:B26"/>
    <mergeCell ref="C24:C26"/>
    <mergeCell ref="J24:J25"/>
    <mergeCell ref="D26:J26"/>
  </mergeCells>
  <conditionalFormatting sqref="J1:J1048576">
    <cfRule type="containsText" dxfId="27" priority="1" operator="containsText" text="Fail">
      <formula>NOT(ISERROR(SEARCH("Fail",J1)))</formula>
    </cfRule>
    <cfRule type="containsText" dxfId="26" priority="2" operator="containsText" text="Pass">
      <formula>NOT(ISERROR(SEARCH("Pass",J1)))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F656-F568-4C22-A405-F8B7B6B345BB}">
  <sheetPr codeName="Sheet3"/>
  <dimension ref="A1:W758"/>
  <sheetViews>
    <sheetView zoomScale="81" zoomScaleNormal="94" workbookViewId="0">
      <pane xSplit="1" ySplit="2" topLeftCell="B3" activePane="bottomRight" state="frozen"/>
      <selection pane="topRight" activeCell="B1" sqref="B1"/>
      <selection pane="bottomLeft" activeCell="A3" sqref="A3"/>
      <selection pane="bottomRight" activeCell="M528" sqref="M528"/>
    </sheetView>
  </sheetViews>
  <sheetFormatPr defaultRowHeight="14.4" x14ac:dyDescent="0.3"/>
  <cols>
    <col min="1" max="1" width="6.6640625" style="17" bestFit="1" customWidth="1"/>
    <col min="2" max="2" width="21.21875" style="26" customWidth="1"/>
    <col min="3" max="3" width="28.6640625" style="26" customWidth="1"/>
    <col min="4" max="4" width="8.33203125" style="17" bestFit="1" customWidth="1"/>
    <col min="5" max="5" width="34.33203125" style="1" bestFit="1" customWidth="1"/>
    <col min="6" max="6" width="33.77734375" style="17" customWidth="1"/>
    <col min="7" max="7" width="39" style="3" customWidth="1"/>
    <col min="8" max="8" width="39.21875" style="3" customWidth="1"/>
    <col min="9" max="9" width="7" style="17" bestFit="1" customWidth="1"/>
    <col min="10" max="10" width="8.77734375" style="17" bestFit="1" customWidth="1"/>
    <col min="11" max="16384" width="8.88671875" style="1"/>
  </cols>
  <sheetData>
    <row r="1" spans="1:15" ht="37.799999999999997" customHeight="1" thickBot="1" x14ac:dyDescent="0.35">
      <c r="A1" s="178" t="s">
        <v>73</v>
      </c>
      <c r="B1" s="179"/>
      <c r="C1" s="179"/>
      <c r="D1" s="179"/>
      <c r="E1" s="179"/>
      <c r="F1" s="179"/>
      <c r="G1" s="179"/>
      <c r="H1" s="179"/>
      <c r="I1" s="179"/>
      <c r="J1" s="180"/>
      <c r="L1" s="64" t="s">
        <v>37</v>
      </c>
      <c r="M1" s="66">
        <f>COUNTIF(J:J,"Pass")</f>
        <v>38</v>
      </c>
      <c r="N1" s="65" t="s">
        <v>182</v>
      </c>
      <c r="O1" s="66">
        <f>COUNTIF(J:J,"Fail")</f>
        <v>18</v>
      </c>
    </row>
    <row r="2" spans="1:15" ht="15" thickBot="1" x14ac:dyDescent="0.35">
      <c r="A2" s="48" t="s">
        <v>24</v>
      </c>
      <c r="B2" s="49" t="s">
        <v>25</v>
      </c>
      <c r="C2" s="49" t="s">
        <v>18</v>
      </c>
      <c r="D2" s="50" t="s">
        <v>26</v>
      </c>
      <c r="E2" s="50" t="s">
        <v>27</v>
      </c>
      <c r="F2" s="50" t="s">
        <v>28</v>
      </c>
      <c r="G2" s="49" t="s">
        <v>29</v>
      </c>
      <c r="H2" s="49" t="s">
        <v>30</v>
      </c>
      <c r="I2" s="50" t="s">
        <v>31</v>
      </c>
      <c r="J2" s="51" t="s">
        <v>32</v>
      </c>
    </row>
    <row r="3" spans="1:15" ht="21.6" customHeight="1" thickBot="1" x14ac:dyDescent="0.35">
      <c r="A3" s="279" t="s">
        <v>9</v>
      </c>
      <c r="B3" s="280"/>
      <c r="C3" s="280"/>
      <c r="D3" s="280"/>
      <c r="E3" s="280"/>
      <c r="F3" s="280"/>
      <c r="G3" s="280"/>
      <c r="H3" s="280"/>
      <c r="I3" s="280"/>
      <c r="J3" s="281"/>
    </row>
    <row r="4" spans="1:15" ht="22.2" customHeight="1" x14ac:dyDescent="0.3">
      <c r="A4" s="204" t="s">
        <v>74</v>
      </c>
      <c r="B4" s="201" t="s">
        <v>773</v>
      </c>
      <c r="C4" s="201" t="s">
        <v>70</v>
      </c>
      <c r="D4" s="45">
        <v>1</v>
      </c>
      <c r="E4" s="46" t="s">
        <v>75</v>
      </c>
      <c r="F4" s="45" t="s">
        <v>249</v>
      </c>
      <c r="G4" s="47" t="s">
        <v>326</v>
      </c>
      <c r="H4" s="47" t="s">
        <v>104</v>
      </c>
      <c r="I4" s="45" t="s">
        <v>37</v>
      </c>
      <c r="J4" s="204" t="s">
        <v>37</v>
      </c>
    </row>
    <row r="5" spans="1:15" x14ac:dyDescent="0.3">
      <c r="A5" s="271"/>
      <c r="B5" s="161"/>
      <c r="C5" s="161"/>
      <c r="D5" s="14">
        <v>2</v>
      </c>
      <c r="E5" s="4" t="s">
        <v>76</v>
      </c>
      <c r="F5" s="14" t="str">
        <f>F4</f>
        <v xml:space="preserve">Aspire Intl  </v>
      </c>
      <c r="G5" s="5" t="s">
        <v>326</v>
      </c>
      <c r="H5" s="5" t="s">
        <v>105</v>
      </c>
      <c r="I5" s="14" t="s">
        <v>37</v>
      </c>
      <c r="J5" s="271"/>
    </row>
    <row r="6" spans="1:15" x14ac:dyDescent="0.3">
      <c r="A6" s="271"/>
      <c r="B6" s="161"/>
      <c r="C6" s="161"/>
      <c r="D6" s="14">
        <v>3</v>
      </c>
      <c r="E6" s="4" t="s">
        <v>77</v>
      </c>
      <c r="F6" s="14" t="s">
        <v>92</v>
      </c>
      <c r="G6" s="5" t="s">
        <v>327</v>
      </c>
      <c r="H6" s="5" t="s">
        <v>107</v>
      </c>
      <c r="I6" s="14" t="s">
        <v>37</v>
      </c>
      <c r="J6" s="271"/>
    </row>
    <row r="7" spans="1:15" x14ac:dyDescent="0.3">
      <c r="A7" s="271"/>
      <c r="B7" s="161"/>
      <c r="C7" s="161"/>
      <c r="D7" s="14">
        <v>4</v>
      </c>
      <c r="E7" s="4" t="s">
        <v>78</v>
      </c>
      <c r="F7" s="14" t="s">
        <v>156</v>
      </c>
      <c r="G7" s="5" t="s">
        <v>326</v>
      </c>
      <c r="H7" s="5" t="s">
        <v>108</v>
      </c>
      <c r="I7" s="14" t="s">
        <v>37</v>
      </c>
      <c r="J7" s="271"/>
    </row>
    <row r="8" spans="1:15" x14ac:dyDescent="0.3">
      <c r="A8" s="271"/>
      <c r="B8" s="161"/>
      <c r="C8" s="161"/>
      <c r="D8" s="14">
        <v>5</v>
      </c>
      <c r="E8" s="4" t="s">
        <v>79</v>
      </c>
      <c r="F8" s="14" t="s">
        <v>94</v>
      </c>
      <c r="G8" s="5" t="s">
        <v>326</v>
      </c>
      <c r="H8" s="5" t="s">
        <v>105</v>
      </c>
      <c r="I8" s="14" t="s">
        <v>37</v>
      </c>
      <c r="J8" s="271"/>
    </row>
    <row r="9" spans="1:15" x14ac:dyDescent="0.3">
      <c r="A9" s="271"/>
      <c r="B9" s="161"/>
      <c r="C9" s="161"/>
      <c r="D9" s="14">
        <v>6</v>
      </c>
      <c r="E9" s="4" t="s">
        <v>80</v>
      </c>
      <c r="F9" s="14" t="s">
        <v>95</v>
      </c>
      <c r="G9" s="5" t="s">
        <v>328</v>
      </c>
      <c r="H9" s="5" t="s">
        <v>110</v>
      </c>
      <c r="I9" s="14" t="s">
        <v>37</v>
      </c>
      <c r="J9" s="271"/>
    </row>
    <row r="10" spans="1:15" x14ac:dyDescent="0.25">
      <c r="A10" s="271"/>
      <c r="B10" s="161"/>
      <c r="C10" s="161"/>
      <c r="D10" s="14">
        <v>7</v>
      </c>
      <c r="E10" s="4" t="s">
        <v>81</v>
      </c>
      <c r="F10" s="33" t="s">
        <v>164</v>
      </c>
      <c r="G10" s="5" t="s">
        <v>326</v>
      </c>
      <c r="H10" s="5" t="s">
        <v>106</v>
      </c>
      <c r="I10" s="14" t="s">
        <v>37</v>
      </c>
      <c r="J10" s="271"/>
    </row>
    <row r="11" spans="1:15" x14ac:dyDescent="0.3">
      <c r="A11" s="271"/>
      <c r="B11" s="161"/>
      <c r="C11" s="161"/>
      <c r="D11" s="14">
        <v>8</v>
      </c>
      <c r="E11" s="4" t="s">
        <v>82</v>
      </c>
      <c r="F11" s="14">
        <v>1</v>
      </c>
      <c r="G11" s="5" t="s">
        <v>329</v>
      </c>
      <c r="H11" s="5" t="s">
        <v>111</v>
      </c>
      <c r="I11" s="14" t="s">
        <v>37</v>
      </c>
      <c r="J11" s="271"/>
    </row>
    <row r="12" spans="1:15" x14ac:dyDescent="0.3">
      <c r="A12" s="271"/>
      <c r="B12" s="161"/>
      <c r="C12" s="161"/>
      <c r="D12" s="14">
        <v>9</v>
      </c>
      <c r="E12" s="4" t="s">
        <v>83</v>
      </c>
      <c r="F12" s="19" t="s">
        <v>43</v>
      </c>
      <c r="G12" s="34" t="s">
        <v>102</v>
      </c>
      <c r="H12" s="5" t="s">
        <v>113</v>
      </c>
      <c r="I12" s="14" t="s">
        <v>37</v>
      </c>
      <c r="J12" s="271"/>
    </row>
    <row r="13" spans="1:15" x14ac:dyDescent="0.3">
      <c r="A13" s="271"/>
      <c r="B13" s="161"/>
      <c r="C13" s="161"/>
      <c r="D13" s="14">
        <v>10</v>
      </c>
      <c r="E13" s="4" t="s">
        <v>88</v>
      </c>
      <c r="F13" s="14" t="s">
        <v>175</v>
      </c>
      <c r="G13" s="5" t="s">
        <v>326</v>
      </c>
      <c r="H13" s="5" t="s">
        <v>105</v>
      </c>
      <c r="I13" s="14" t="s">
        <v>37</v>
      </c>
      <c r="J13" s="271"/>
    </row>
    <row r="14" spans="1:15" x14ac:dyDescent="0.3">
      <c r="A14" s="271"/>
      <c r="B14" s="161"/>
      <c r="C14" s="161"/>
      <c r="D14" s="14">
        <v>11</v>
      </c>
      <c r="E14" s="4" t="s">
        <v>84</v>
      </c>
      <c r="F14" s="35">
        <v>46032</v>
      </c>
      <c r="G14" s="5" t="s">
        <v>328</v>
      </c>
      <c r="H14" s="5" t="s">
        <v>110</v>
      </c>
      <c r="I14" s="14" t="s">
        <v>37</v>
      </c>
      <c r="J14" s="271"/>
    </row>
    <row r="15" spans="1:15" x14ac:dyDescent="0.3">
      <c r="A15" s="271"/>
      <c r="B15" s="161"/>
      <c r="C15" s="161"/>
      <c r="D15" s="14">
        <v>12</v>
      </c>
      <c r="E15" s="4" t="s">
        <v>85</v>
      </c>
      <c r="F15" s="14" t="s">
        <v>98</v>
      </c>
      <c r="G15" s="5" t="s">
        <v>330</v>
      </c>
      <c r="H15" s="5" t="s">
        <v>114</v>
      </c>
      <c r="I15" s="14" t="s">
        <v>37</v>
      </c>
      <c r="J15" s="271"/>
    </row>
    <row r="16" spans="1:15" x14ac:dyDescent="0.3">
      <c r="A16" s="271"/>
      <c r="B16" s="161"/>
      <c r="C16" s="161"/>
      <c r="D16" s="14">
        <v>13</v>
      </c>
      <c r="E16" s="4" t="s">
        <v>86</v>
      </c>
      <c r="F16" s="14" t="s">
        <v>99</v>
      </c>
      <c r="G16" s="5" t="s">
        <v>330</v>
      </c>
      <c r="H16" s="5" t="s">
        <v>112</v>
      </c>
      <c r="I16" s="14" t="s">
        <v>37</v>
      </c>
      <c r="J16" s="271"/>
    </row>
    <row r="17" spans="1:10" x14ac:dyDescent="0.3">
      <c r="A17" s="271"/>
      <c r="B17" s="161"/>
      <c r="C17" s="161"/>
      <c r="D17" s="14">
        <v>14</v>
      </c>
      <c r="E17" s="4" t="s">
        <v>87</v>
      </c>
      <c r="F17" s="14">
        <v>8691047788</v>
      </c>
      <c r="G17" s="5" t="s">
        <v>330</v>
      </c>
      <c r="H17" s="5" t="s">
        <v>115</v>
      </c>
      <c r="I17" s="14" t="s">
        <v>37</v>
      </c>
      <c r="J17" s="271"/>
    </row>
    <row r="18" spans="1:10" x14ac:dyDescent="0.3">
      <c r="A18" s="271"/>
      <c r="B18" s="161"/>
      <c r="C18" s="161"/>
      <c r="D18" s="14">
        <v>15</v>
      </c>
      <c r="E18" s="4" t="s">
        <v>89</v>
      </c>
      <c r="F18" s="14" t="s">
        <v>100</v>
      </c>
      <c r="G18" s="5" t="s">
        <v>326</v>
      </c>
      <c r="H18" s="5" t="s">
        <v>109</v>
      </c>
      <c r="I18" s="14" t="s">
        <v>37</v>
      </c>
      <c r="J18" s="271"/>
    </row>
    <row r="19" spans="1:10" x14ac:dyDescent="0.3">
      <c r="A19" s="271"/>
      <c r="B19" s="161"/>
      <c r="C19" s="161"/>
      <c r="D19" s="14">
        <v>16</v>
      </c>
      <c r="E19" s="4" t="s">
        <v>90</v>
      </c>
      <c r="F19" s="19" t="s">
        <v>43</v>
      </c>
      <c r="G19" s="5" t="s">
        <v>103</v>
      </c>
      <c r="H19" s="5" t="s">
        <v>116</v>
      </c>
      <c r="I19" s="14" t="s">
        <v>37</v>
      </c>
      <c r="J19" s="271"/>
    </row>
    <row r="21" spans="1:10" x14ac:dyDescent="0.3">
      <c r="A21" s="271" t="s">
        <v>117</v>
      </c>
      <c r="B21" s="161" t="s">
        <v>774</v>
      </c>
      <c r="C21" s="161" t="s">
        <v>70</v>
      </c>
      <c r="D21" s="14">
        <v>1</v>
      </c>
      <c r="E21" s="4" t="s">
        <v>75</v>
      </c>
      <c r="F21" s="14" t="s">
        <v>153</v>
      </c>
      <c r="G21" s="5" t="s">
        <v>326</v>
      </c>
      <c r="H21" s="5" t="s">
        <v>104</v>
      </c>
      <c r="I21" s="14" t="s">
        <v>37</v>
      </c>
      <c r="J21" s="271" t="s">
        <v>37</v>
      </c>
    </row>
    <row r="22" spans="1:10" x14ac:dyDescent="0.3">
      <c r="A22" s="271"/>
      <c r="B22" s="161"/>
      <c r="C22" s="161"/>
      <c r="D22" s="14">
        <v>2</v>
      </c>
      <c r="E22" s="4" t="s">
        <v>76</v>
      </c>
      <c r="F22" s="14" t="s">
        <v>118</v>
      </c>
      <c r="G22" s="5" t="s">
        <v>326</v>
      </c>
      <c r="H22" s="5" t="s">
        <v>105</v>
      </c>
      <c r="I22" s="14" t="s">
        <v>37</v>
      </c>
      <c r="J22" s="271"/>
    </row>
    <row r="23" spans="1:10" x14ac:dyDescent="0.3">
      <c r="A23" s="271"/>
      <c r="B23" s="161"/>
      <c r="C23" s="161"/>
      <c r="D23" s="14">
        <v>3</v>
      </c>
      <c r="E23" s="4" t="s">
        <v>77</v>
      </c>
      <c r="F23" s="14" t="s">
        <v>123</v>
      </c>
      <c r="G23" s="5" t="s">
        <v>327</v>
      </c>
      <c r="H23" s="5" t="s">
        <v>107</v>
      </c>
      <c r="I23" s="14" t="s">
        <v>37</v>
      </c>
      <c r="J23" s="271"/>
    </row>
    <row r="24" spans="1:10" x14ac:dyDescent="0.3">
      <c r="A24" s="271"/>
      <c r="B24" s="161"/>
      <c r="C24" s="161"/>
      <c r="D24" s="14">
        <v>4</v>
      </c>
      <c r="E24" s="4" t="s">
        <v>78</v>
      </c>
      <c r="F24" s="14" t="s">
        <v>122</v>
      </c>
      <c r="G24" s="5" t="s">
        <v>326</v>
      </c>
      <c r="H24" s="5" t="s">
        <v>108</v>
      </c>
      <c r="I24" s="14" t="s">
        <v>37</v>
      </c>
      <c r="J24" s="271"/>
    </row>
    <row r="25" spans="1:10" x14ac:dyDescent="0.3">
      <c r="A25" s="271"/>
      <c r="B25" s="161"/>
      <c r="C25" s="161"/>
      <c r="D25" s="14">
        <v>5</v>
      </c>
      <c r="E25" s="4" t="s">
        <v>79</v>
      </c>
      <c r="F25" s="14" t="s">
        <v>94</v>
      </c>
      <c r="G25" s="5" t="s">
        <v>326</v>
      </c>
      <c r="H25" s="5" t="s">
        <v>105</v>
      </c>
      <c r="I25" s="14" t="s">
        <v>37</v>
      </c>
      <c r="J25" s="271"/>
    </row>
    <row r="26" spans="1:10" x14ac:dyDescent="0.3">
      <c r="A26" s="271"/>
      <c r="B26" s="161"/>
      <c r="C26" s="161"/>
      <c r="D26" s="14">
        <v>6</v>
      </c>
      <c r="E26" s="4" t="s">
        <v>80</v>
      </c>
      <c r="F26" s="14" t="s">
        <v>95</v>
      </c>
      <c r="G26" s="5" t="s">
        <v>328</v>
      </c>
      <c r="H26" s="5" t="s">
        <v>110</v>
      </c>
      <c r="I26" s="14" t="s">
        <v>37</v>
      </c>
      <c r="J26" s="271"/>
    </row>
    <row r="27" spans="1:10" x14ac:dyDescent="0.3">
      <c r="A27" s="271"/>
      <c r="B27" s="161"/>
      <c r="C27" s="161"/>
      <c r="D27" s="14">
        <v>7</v>
      </c>
      <c r="E27" s="4" t="s">
        <v>88</v>
      </c>
      <c r="F27" s="14" t="s">
        <v>97</v>
      </c>
      <c r="G27" s="5" t="s">
        <v>326</v>
      </c>
      <c r="H27" s="5" t="s">
        <v>105</v>
      </c>
      <c r="I27" s="14" t="s">
        <v>37</v>
      </c>
      <c r="J27" s="271"/>
    </row>
    <row r="28" spans="1:10" x14ac:dyDescent="0.3">
      <c r="A28" s="271"/>
      <c r="B28" s="161"/>
      <c r="C28" s="161"/>
      <c r="D28" s="14">
        <v>8</v>
      </c>
      <c r="E28" s="4" t="s">
        <v>84</v>
      </c>
      <c r="F28" s="35">
        <v>46032</v>
      </c>
      <c r="G28" s="5" t="s">
        <v>328</v>
      </c>
      <c r="H28" s="5" t="s">
        <v>110</v>
      </c>
      <c r="I28" s="14" t="s">
        <v>37</v>
      </c>
      <c r="J28" s="271"/>
    </row>
    <row r="29" spans="1:10" x14ac:dyDescent="0.3">
      <c r="A29" s="271"/>
      <c r="B29" s="161"/>
      <c r="C29" s="161"/>
      <c r="D29" s="14">
        <v>9</v>
      </c>
      <c r="E29" s="4" t="s">
        <v>85</v>
      </c>
      <c r="F29" s="14" t="s">
        <v>119</v>
      </c>
      <c r="G29" s="5" t="s">
        <v>330</v>
      </c>
      <c r="H29" s="5" t="s">
        <v>114</v>
      </c>
      <c r="I29" s="14" t="s">
        <v>37</v>
      </c>
      <c r="J29" s="271"/>
    </row>
    <row r="30" spans="1:10" x14ac:dyDescent="0.3">
      <c r="A30" s="271"/>
      <c r="B30" s="161"/>
      <c r="C30" s="161"/>
      <c r="D30" s="14">
        <v>10</v>
      </c>
      <c r="E30" s="4" t="s">
        <v>86</v>
      </c>
      <c r="F30" s="14" t="s">
        <v>120</v>
      </c>
      <c r="G30" s="5" t="s">
        <v>330</v>
      </c>
      <c r="H30" s="5" t="s">
        <v>112</v>
      </c>
      <c r="I30" s="14" t="s">
        <v>37</v>
      </c>
      <c r="J30" s="271"/>
    </row>
    <row r="31" spans="1:10" x14ac:dyDescent="0.3">
      <c r="A31" s="271"/>
      <c r="B31" s="161"/>
      <c r="C31" s="161"/>
      <c r="D31" s="14">
        <v>11</v>
      </c>
      <c r="E31" s="4" t="s">
        <v>87</v>
      </c>
      <c r="F31" s="14">
        <v>8691047788</v>
      </c>
      <c r="G31" s="5" t="s">
        <v>330</v>
      </c>
      <c r="H31" s="5" t="s">
        <v>115</v>
      </c>
      <c r="I31" s="14" t="s">
        <v>37</v>
      </c>
      <c r="J31" s="271"/>
    </row>
    <row r="32" spans="1:10" x14ac:dyDescent="0.3">
      <c r="A32" s="271"/>
      <c r="B32" s="161"/>
      <c r="C32" s="161"/>
      <c r="D32" s="14">
        <v>12</v>
      </c>
      <c r="E32" s="4" t="s">
        <v>89</v>
      </c>
      <c r="F32" s="14" t="s">
        <v>121</v>
      </c>
      <c r="G32" s="5" t="s">
        <v>326</v>
      </c>
      <c r="H32" s="5" t="s">
        <v>109</v>
      </c>
      <c r="I32" s="14" t="s">
        <v>37</v>
      </c>
      <c r="J32" s="271"/>
    </row>
    <row r="33" spans="1:10" x14ac:dyDescent="0.3">
      <c r="A33" s="271"/>
      <c r="B33" s="161"/>
      <c r="C33" s="161"/>
      <c r="D33" s="14">
        <v>13</v>
      </c>
      <c r="E33" s="4" t="s">
        <v>90</v>
      </c>
      <c r="F33" s="19" t="s">
        <v>43</v>
      </c>
      <c r="G33" s="5" t="s">
        <v>124</v>
      </c>
      <c r="H33" s="5" t="s">
        <v>125</v>
      </c>
      <c r="I33" s="14" t="s">
        <v>37</v>
      </c>
      <c r="J33" s="271"/>
    </row>
    <row r="35" spans="1:10" x14ac:dyDescent="0.3">
      <c r="A35" s="271" t="s">
        <v>126</v>
      </c>
      <c r="B35" s="161" t="s">
        <v>775</v>
      </c>
      <c r="C35" s="161" t="s">
        <v>70</v>
      </c>
      <c r="D35" s="14">
        <v>1</v>
      </c>
      <c r="E35" s="4" t="s">
        <v>75</v>
      </c>
      <c r="F35" s="14" t="s">
        <v>128</v>
      </c>
      <c r="G35" s="5" t="s">
        <v>326</v>
      </c>
      <c r="H35" s="5" t="s">
        <v>104</v>
      </c>
      <c r="I35" s="14" t="s">
        <v>37</v>
      </c>
      <c r="J35" s="271" t="s">
        <v>37</v>
      </c>
    </row>
    <row r="36" spans="1:10" x14ac:dyDescent="0.3">
      <c r="A36" s="271"/>
      <c r="B36" s="161"/>
      <c r="C36" s="161"/>
      <c r="D36" s="14">
        <v>2</v>
      </c>
      <c r="E36" s="4" t="s">
        <v>76</v>
      </c>
      <c r="F36" s="14" t="s">
        <v>128</v>
      </c>
      <c r="G36" s="5" t="s">
        <v>326</v>
      </c>
      <c r="H36" s="5" t="s">
        <v>105</v>
      </c>
      <c r="I36" s="14" t="s">
        <v>37</v>
      </c>
      <c r="J36" s="271"/>
    </row>
    <row r="37" spans="1:10" x14ac:dyDescent="0.3">
      <c r="A37" s="271"/>
      <c r="B37" s="161"/>
      <c r="C37" s="161"/>
      <c r="D37" s="14">
        <v>3</v>
      </c>
      <c r="E37" s="4" t="s">
        <v>77</v>
      </c>
      <c r="F37" s="14" t="s">
        <v>133</v>
      </c>
      <c r="G37" s="5" t="s">
        <v>327</v>
      </c>
      <c r="H37" s="5" t="s">
        <v>107</v>
      </c>
      <c r="I37" s="14" t="s">
        <v>37</v>
      </c>
      <c r="J37" s="271"/>
    </row>
    <row r="38" spans="1:10" x14ac:dyDescent="0.3">
      <c r="A38" s="271"/>
      <c r="B38" s="161"/>
      <c r="C38" s="161"/>
      <c r="D38" s="14">
        <v>4</v>
      </c>
      <c r="E38" s="4" t="s">
        <v>78</v>
      </c>
      <c r="F38" s="14" t="s">
        <v>131</v>
      </c>
      <c r="G38" s="5" t="s">
        <v>326</v>
      </c>
      <c r="H38" s="5" t="s">
        <v>108</v>
      </c>
      <c r="I38" s="14" t="s">
        <v>37</v>
      </c>
      <c r="J38" s="271"/>
    </row>
    <row r="39" spans="1:10" x14ac:dyDescent="0.3">
      <c r="A39" s="271"/>
      <c r="B39" s="161"/>
      <c r="C39" s="161"/>
      <c r="D39" s="14">
        <v>5</v>
      </c>
      <c r="E39" s="4" t="s">
        <v>79</v>
      </c>
      <c r="F39" s="14" t="s">
        <v>132</v>
      </c>
      <c r="G39" s="5" t="s">
        <v>326</v>
      </c>
      <c r="H39" s="5" t="s">
        <v>105</v>
      </c>
      <c r="I39" s="14" t="s">
        <v>37</v>
      </c>
      <c r="J39" s="271"/>
    </row>
    <row r="40" spans="1:10" x14ac:dyDescent="0.3">
      <c r="A40" s="271"/>
      <c r="B40" s="161"/>
      <c r="C40" s="161"/>
      <c r="D40" s="14">
        <v>6</v>
      </c>
      <c r="E40" s="4" t="s">
        <v>80</v>
      </c>
      <c r="F40" s="14" t="s">
        <v>95</v>
      </c>
      <c r="G40" s="5" t="s">
        <v>328</v>
      </c>
      <c r="H40" s="5" t="s">
        <v>110</v>
      </c>
      <c r="I40" s="14" t="s">
        <v>37</v>
      </c>
      <c r="J40" s="271"/>
    </row>
    <row r="41" spans="1:10" x14ac:dyDescent="0.25">
      <c r="A41" s="271"/>
      <c r="B41" s="161"/>
      <c r="C41" s="161"/>
      <c r="D41" s="14">
        <v>7</v>
      </c>
      <c r="E41" s="4" t="s">
        <v>81</v>
      </c>
      <c r="F41" s="33" t="s">
        <v>96</v>
      </c>
      <c r="G41" s="5" t="s">
        <v>326</v>
      </c>
      <c r="H41" s="5" t="s">
        <v>106</v>
      </c>
      <c r="I41" s="14" t="s">
        <v>37</v>
      </c>
      <c r="J41" s="271"/>
    </row>
    <row r="42" spans="1:10" x14ac:dyDescent="0.3">
      <c r="A42" s="271"/>
      <c r="B42" s="161"/>
      <c r="C42" s="161"/>
      <c r="D42" s="14">
        <v>8</v>
      </c>
      <c r="E42" s="4" t="s">
        <v>82</v>
      </c>
      <c r="F42" s="14">
        <v>2</v>
      </c>
      <c r="G42" s="5" t="s">
        <v>329</v>
      </c>
      <c r="H42" s="5" t="s">
        <v>111</v>
      </c>
      <c r="I42" s="14" t="s">
        <v>37</v>
      </c>
      <c r="J42" s="271"/>
    </row>
    <row r="43" spans="1:10" x14ac:dyDescent="0.3">
      <c r="A43" s="271"/>
      <c r="B43" s="161"/>
      <c r="C43" s="161"/>
      <c r="D43" s="14">
        <v>9</v>
      </c>
      <c r="E43" s="4" t="s">
        <v>83</v>
      </c>
      <c r="F43" s="19" t="s">
        <v>43</v>
      </c>
      <c r="G43" s="34" t="s">
        <v>102</v>
      </c>
      <c r="H43" s="5" t="s">
        <v>113</v>
      </c>
      <c r="I43" s="14" t="s">
        <v>37</v>
      </c>
      <c r="J43" s="271"/>
    </row>
    <row r="44" spans="1:10" x14ac:dyDescent="0.3">
      <c r="A44" s="271"/>
      <c r="B44" s="161"/>
      <c r="C44" s="161"/>
      <c r="D44" s="14">
        <v>10</v>
      </c>
      <c r="E44" s="4" t="s">
        <v>88</v>
      </c>
      <c r="F44" s="14" t="s">
        <v>97</v>
      </c>
      <c r="G44" s="5" t="s">
        <v>326</v>
      </c>
      <c r="H44" s="5" t="s">
        <v>105</v>
      </c>
      <c r="I44" s="14" t="s">
        <v>37</v>
      </c>
      <c r="J44" s="271"/>
    </row>
    <row r="45" spans="1:10" x14ac:dyDescent="0.3">
      <c r="A45" s="271"/>
      <c r="B45" s="161"/>
      <c r="C45" s="161"/>
      <c r="D45" s="14">
        <v>11</v>
      </c>
      <c r="E45" s="4" t="s">
        <v>84</v>
      </c>
      <c r="F45" s="35">
        <v>46032</v>
      </c>
      <c r="G45" s="5" t="s">
        <v>328</v>
      </c>
      <c r="H45" s="5" t="s">
        <v>110</v>
      </c>
      <c r="I45" s="14" t="s">
        <v>37</v>
      </c>
      <c r="J45" s="271"/>
    </row>
    <row r="46" spans="1:10" x14ac:dyDescent="0.3">
      <c r="A46" s="271"/>
      <c r="B46" s="161"/>
      <c r="C46" s="161"/>
      <c r="D46" s="14">
        <v>12</v>
      </c>
      <c r="E46" s="4" t="s">
        <v>85</v>
      </c>
      <c r="F46" s="14" t="s">
        <v>129</v>
      </c>
      <c r="G46" s="5" t="s">
        <v>330</v>
      </c>
      <c r="H46" s="5" t="s">
        <v>114</v>
      </c>
      <c r="I46" s="14" t="s">
        <v>37</v>
      </c>
      <c r="J46" s="271"/>
    </row>
    <row r="47" spans="1:10" x14ac:dyDescent="0.3">
      <c r="A47" s="271"/>
      <c r="B47" s="161"/>
      <c r="C47" s="161"/>
      <c r="D47" s="14">
        <v>13</v>
      </c>
      <c r="E47" s="4" t="s">
        <v>86</v>
      </c>
      <c r="F47" s="14" t="s">
        <v>127</v>
      </c>
      <c r="G47" s="5" t="s">
        <v>330</v>
      </c>
      <c r="H47" s="5" t="s">
        <v>112</v>
      </c>
      <c r="I47" s="14" t="s">
        <v>37</v>
      </c>
      <c r="J47" s="271"/>
    </row>
    <row r="48" spans="1:10" x14ac:dyDescent="0.3">
      <c r="A48" s="271"/>
      <c r="B48" s="161"/>
      <c r="C48" s="161"/>
      <c r="D48" s="14">
        <v>14</v>
      </c>
      <c r="E48" s="4" t="s">
        <v>87</v>
      </c>
      <c r="F48" s="14">
        <v>8691047788</v>
      </c>
      <c r="G48" s="5" t="s">
        <v>330</v>
      </c>
      <c r="H48" s="5" t="s">
        <v>115</v>
      </c>
      <c r="I48" s="14" t="s">
        <v>37</v>
      </c>
      <c r="J48" s="271"/>
    </row>
    <row r="49" spans="1:10" x14ac:dyDescent="0.3">
      <c r="A49" s="271"/>
      <c r="B49" s="161"/>
      <c r="C49" s="161"/>
      <c r="D49" s="14">
        <v>15</v>
      </c>
      <c r="E49" s="4" t="s">
        <v>89</v>
      </c>
      <c r="F49" s="14" t="s">
        <v>130</v>
      </c>
      <c r="G49" s="5" t="s">
        <v>326</v>
      </c>
      <c r="H49" s="5" t="s">
        <v>109</v>
      </c>
      <c r="I49" s="14" t="s">
        <v>37</v>
      </c>
      <c r="J49" s="271"/>
    </row>
    <row r="50" spans="1:10" x14ac:dyDescent="0.3">
      <c r="A50" s="271"/>
      <c r="B50" s="161"/>
      <c r="C50" s="161"/>
      <c r="D50" s="14">
        <v>16</v>
      </c>
      <c r="E50" s="4" t="s">
        <v>90</v>
      </c>
      <c r="F50" s="19" t="s">
        <v>43</v>
      </c>
      <c r="G50" s="5" t="s">
        <v>103</v>
      </c>
      <c r="H50" s="5" t="s">
        <v>116</v>
      </c>
      <c r="I50" s="14" t="s">
        <v>37</v>
      </c>
      <c r="J50" s="271"/>
    </row>
    <row r="52" spans="1:10" x14ac:dyDescent="0.3">
      <c r="A52" s="271" t="s">
        <v>137</v>
      </c>
      <c r="B52" s="161" t="s">
        <v>776</v>
      </c>
      <c r="C52" s="161" t="s">
        <v>70</v>
      </c>
      <c r="D52" s="14">
        <v>1</v>
      </c>
      <c r="E52" s="4" t="s">
        <v>75</v>
      </c>
      <c r="F52" s="14" t="s">
        <v>128</v>
      </c>
      <c r="G52" s="5" t="s">
        <v>326</v>
      </c>
      <c r="H52" s="5" t="s">
        <v>104</v>
      </c>
      <c r="I52" s="14" t="s">
        <v>37</v>
      </c>
      <c r="J52" s="271" t="s">
        <v>37</v>
      </c>
    </row>
    <row r="53" spans="1:10" x14ac:dyDescent="0.3">
      <c r="A53" s="271"/>
      <c r="B53" s="161"/>
      <c r="C53" s="161"/>
      <c r="D53" s="14">
        <v>2</v>
      </c>
      <c r="E53" s="4" t="s">
        <v>76</v>
      </c>
      <c r="F53" s="14" t="s">
        <v>128</v>
      </c>
      <c r="G53" s="5" t="s">
        <v>326</v>
      </c>
      <c r="H53" s="5" t="s">
        <v>105</v>
      </c>
      <c r="I53" s="14" t="s">
        <v>37</v>
      </c>
      <c r="J53" s="271"/>
    </row>
    <row r="54" spans="1:10" x14ac:dyDescent="0.3">
      <c r="A54" s="271"/>
      <c r="B54" s="161"/>
      <c r="C54" s="161"/>
      <c r="D54" s="14">
        <v>3</v>
      </c>
      <c r="E54" s="4" t="s">
        <v>77</v>
      </c>
      <c r="F54" s="14" t="s">
        <v>134</v>
      </c>
      <c r="G54" s="5" t="s">
        <v>327</v>
      </c>
      <c r="H54" s="5" t="s">
        <v>107</v>
      </c>
      <c r="I54" s="14" t="s">
        <v>37</v>
      </c>
      <c r="J54" s="271"/>
    </row>
    <row r="55" spans="1:10" x14ac:dyDescent="0.3">
      <c r="A55" s="271"/>
      <c r="B55" s="161"/>
      <c r="C55" s="161"/>
      <c r="D55" s="14">
        <v>4</v>
      </c>
      <c r="E55" s="4" t="s">
        <v>78</v>
      </c>
      <c r="F55" s="14" t="s">
        <v>131</v>
      </c>
      <c r="G55" s="5" t="s">
        <v>326</v>
      </c>
      <c r="H55" s="5" t="s">
        <v>108</v>
      </c>
      <c r="I55" s="14" t="s">
        <v>37</v>
      </c>
      <c r="J55" s="271"/>
    </row>
    <row r="56" spans="1:10" x14ac:dyDescent="0.3">
      <c r="A56" s="271"/>
      <c r="B56" s="161"/>
      <c r="C56" s="161"/>
      <c r="D56" s="14">
        <v>5</v>
      </c>
      <c r="E56" s="4" t="s">
        <v>79</v>
      </c>
      <c r="F56" s="14" t="s">
        <v>132</v>
      </c>
      <c r="G56" s="5" t="s">
        <v>326</v>
      </c>
      <c r="H56" s="5" t="s">
        <v>105</v>
      </c>
      <c r="I56" s="14" t="s">
        <v>37</v>
      </c>
      <c r="J56" s="271"/>
    </row>
    <row r="57" spans="1:10" x14ac:dyDescent="0.3">
      <c r="A57" s="271"/>
      <c r="B57" s="161"/>
      <c r="C57" s="161"/>
      <c r="D57" s="14">
        <v>6</v>
      </c>
      <c r="E57" s="4" t="s">
        <v>80</v>
      </c>
      <c r="F57" s="14" t="s">
        <v>95</v>
      </c>
      <c r="G57" s="5" t="s">
        <v>328</v>
      </c>
      <c r="H57" s="5" t="s">
        <v>110</v>
      </c>
      <c r="I57" s="14" t="s">
        <v>37</v>
      </c>
      <c r="J57" s="271"/>
    </row>
    <row r="58" spans="1:10" x14ac:dyDescent="0.25">
      <c r="A58" s="271"/>
      <c r="B58" s="161"/>
      <c r="C58" s="161"/>
      <c r="D58" s="14">
        <v>7</v>
      </c>
      <c r="E58" s="4" t="s">
        <v>81</v>
      </c>
      <c r="F58" s="33" t="s">
        <v>135</v>
      </c>
      <c r="G58" s="5" t="s">
        <v>326</v>
      </c>
      <c r="H58" s="5" t="s">
        <v>106</v>
      </c>
      <c r="I58" s="14" t="s">
        <v>37</v>
      </c>
      <c r="J58" s="271"/>
    </row>
    <row r="59" spans="1:10" x14ac:dyDescent="0.3">
      <c r="A59" s="271"/>
      <c r="B59" s="161"/>
      <c r="C59" s="161"/>
      <c r="D59" s="14">
        <v>8</v>
      </c>
      <c r="E59" s="4" t="s">
        <v>82</v>
      </c>
      <c r="F59" s="14">
        <v>5</v>
      </c>
      <c r="G59" s="5" t="s">
        <v>329</v>
      </c>
      <c r="H59" s="5" t="s">
        <v>111</v>
      </c>
      <c r="I59" s="14" t="s">
        <v>37</v>
      </c>
      <c r="J59" s="271"/>
    </row>
    <row r="60" spans="1:10" x14ac:dyDescent="0.3">
      <c r="A60" s="271"/>
      <c r="B60" s="161"/>
      <c r="C60" s="161"/>
      <c r="D60" s="14">
        <v>9</v>
      </c>
      <c r="E60" s="4" t="s">
        <v>83</v>
      </c>
      <c r="F60" s="19" t="s">
        <v>43</v>
      </c>
      <c r="G60" s="34" t="s">
        <v>102</v>
      </c>
      <c r="H60" s="5" t="s">
        <v>113</v>
      </c>
      <c r="I60" s="14" t="s">
        <v>37</v>
      </c>
      <c r="J60" s="271"/>
    </row>
    <row r="61" spans="1:10" x14ac:dyDescent="0.25">
      <c r="A61" s="271"/>
      <c r="B61" s="161"/>
      <c r="C61" s="161"/>
      <c r="D61" s="14">
        <v>10</v>
      </c>
      <c r="E61" s="4" t="s">
        <v>81</v>
      </c>
      <c r="F61" s="33" t="s">
        <v>96</v>
      </c>
      <c r="G61" s="5" t="s">
        <v>326</v>
      </c>
      <c r="H61" s="5" t="s">
        <v>106</v>
      </c>
      <c r="I61" s="14" t="s">
        <v>37</v>
      </c>
      <c r="J61" s="271"/>
    </row>
    <row r="62" spans="1:10" x14ac:dyDescent="0.3">
      <c r="A62" s="271"/>
      <c r="B62" s="161"/>
      <c r="C62" s="161"/>
      <c r="D62" s="14">
        <v>11</v>
      </c>
      <c r="E62" s="4" t="s">
        <v>82</v>
      </c>
      <c r="F62" s="14">
        <v>4</v>
      </c>
      <c r="G62" s="5" t="s">
        <v>329</v>
      </c>
      <c r="H62" s="5" t="s">
        <v>111</v>
      </c>
      <c r="I62" s="14" t="s">
        <v>37</v>
      </c>
      <c r="J62" s="271"/>
    </row>
    <row r="63" spans="1:10" x14ac:dyDescent="0.3">
      <c r="A63" s="271"/>
      <c r="B63" s="161"/>
      <c r="C63" s="161"/>
      <c r="D63" s="14">
        <v>12</v>
      </c>
      <c r="E63" s="4" t="s">
        <v>83</v>
      </c>
      <c r="F63" s="19" t="s">
        <v>43</v>
      </c>
      <c r="G63" s="34" t="s">
        <v>102</v>
      </c>
      <c r="H63" s="5" t="s">
        <v>113</v>
      </c>
      <c r="I63" s="14" t="s">
        <v>37</v>
      </c>
      <c r="J63" s="271"/>
    </row>
    <row r="64" spans="1:10" x14ac:dyDescent="0.3">
      <c r="A64" s="271"/>
      <c r="B64" s="161"/>
      <c r="C64" s="161"/>
      <c r="D64" s="14">
        <v>13</v>
      </c>
      <c r="E64" s="4" t="s">
        <v>88</v>
      </c>
      <c r="F64" s="14" t="s">
        <v>136</v>
      </c>
      <c r="G64" s="5" t="s">
        <v>326</v>
      </c>
      <c r="H64" s="5" t="s">
        <v>105</v>
      </c>
      <c r="I64" s="14" t="s">
        <v>37</v>
      </c>
      <c r="J64" s="271"/>
    </row>
    <row r="65" spans="1:10" x14ac:dyDescent="0.3">
      <c r="A65" s="271"/>
      <c r="B65" s="161"/>
      <c r="C65" s="161"/>
      <c r="D65" s="14">
        <v>14</v>
      </c>
      <c r="E65" s="4" t="s">
        <v>84</v>
      </c>
      <c r="F65" s="35">
        <v>46032</v>
      </c>
      <c r="G65" s="5" t="s">
        <v>328</v>
      </c>
      <c r="H65" s="5" t="s">
        <v>110</v>
      </c>
      <c r="I65" s="14" t="s">
        <v>37</v>
      </c>
      <c r="J65" s="271"/>
    </row>
    <row r="66" spans="1:10" x14ac:dyDescent="0.3">
      <c r="A66" s="271"/>
      <c r="B66" s="161"/>
      <c r="C66" s="161"/>
      <c r="D66" s="14">
        <v>15</v>
      </c>
      <c r="E66" s="4" t="s">
        <v>85</v>
      </c>
      <c r="F66" s="14" t="s">
        <v>129</v>
      </c>
      <c r="G66" s="5" t="s">
        <v>330</v>
      </c>
      <c r="H66" s="5" t="s">
        <v>114</v>
      </c>
      <c r="I66" s="14" t="s">
        <v>37</v>
      </c>
      <c r="J66" s="271"/>
    </row>
    <row r="67" spans="1:10" x14ac:dyDescent="0.3">
      <c r="A67" s="271"/>
      <c r="B67" s="161"/>
      <c r="C67" s="161"/>
      <c r="D67" s="14">
        <v>16</v>
      </c>
      <c r="E67" s="4" t="s">
        <v>86</v>
      </c>
      <c r="F67" s="14" t="s">
        <v>127</v>
      </c>
      <c r="G67" s="5" t="s">
        <v>330</v>
      </c>
      <c r="H67" s="5" t="s">
        <v>112</v>
      </c>
      <c r="I67" s="14" t="s">
        <v>37</v>
      </c>
      <c r="J67" s="271"/>
    </row>
    <row r="68" spans="1:10" x14ac:dyDescent="0.3">
      <c r="A68" s="271"/>
      <c r="B68" s="161"/>
      <c r="C68" s="161"/>
      <c r="D68" s="14">
        <v>17</v>
      </c>
      <c r="E68" s="4" t="s">
        <v>87</v>
      </c>
      <c r="F68" s="14">
        <v>8691047788</v>
      </c>
      <c r="G68" s="5" t="s">
        <v>330</v>
      </c>
      <c r="H68" s="5" t="s">
        <v>115</v>
      </c>
      <c r="I68" s="14" t="s">
        <v>37</v>
      </c>
      <c r="J68" s="271"/>
    </row>
    <row r="69" spans="1:10" x14ac:dyDescent="0.3">
      <c r="A69" s="271"/>
      <c r="B69" s="161"/>
      <c r="C69" s="161"/>
      <c r="D69" s="14">
        <v>18</v>
      </c>
      <c r="E69" s="4" t="s">
        <v>89</v>
      </c>
      <c r="F69" s="14" t="s">
        <v>130</v>
      </c>
      <c r="G69" s="5" t="s">
        <v>326</v>
      </c>
      <c r="H69" s="5" t="s">
        <v>109</v>
      </c>
      <c r="I69" s="14" t="s">
        <v>37</v>
      </c>
      <c r="J69" s="271"/>
    </row>
    <row r="70" spans="1:10" x14ac:dyDescent="0.3">
      <c r="A70" s="271"/>
      <c r="B70" s="161"/>
      <c r="C70" s="161"/>
      <c r="D70" s="14">
        <v>19</v>
      </c>
      <c r="E70" s="4" t="s">
        <v>90</v>
      </c>
      <c r="F70" s="19" t="s">
        <v>43</v>
      </c>
      <c r="G70" s="5" t="s">
        <v>103</v>
      </c>
      <c r="H70" s="5" t="s">
        <v>116</v>
      </c>
      <c r="I70" s="14" t="s">
        <v>37</v>
      </c>
      <c r="J70" s="271"/>
    </row>
    <row r="72" spans="1:10" x14ac:dyDescent="0.3">
      <c r="A72" s="271" t="s">
        <v>138</v>
      </c>
      <c r="B72" s="161" t="s">
        <v>777</v>
      </c>
      <c r="C72" s="161" t="s">
        <v>70</v>
      </c>
      <c r="D72" s="14">
        <v>1</v>
      </c>
      <c r="E72" s="4" t="s">
        <v>75</v>
      </c>
      <c r="F72" s="14" t="s">
        <v>139</v>
      </c>
      <c r="G72" s="5" t="s">
        <v>326</v>
      </c>
      <c r="H72" s="5" t="s">
        <v>104</v>
      </c>
      <c r="I72" s="14" t="s">
        <v>37</v>
      </c>
      <c r="J72" s="271" t="s">
        <v>37</v>
      </c>
    </row>
    <row r="73" spans="1:10" x14ac:dyDescent="0.3">
      <c r="A73" s="271"/>
      <c r="B73" s="161"/>
      <c r="C73" s="161"/>
      <c r="D73" s="14">
        <v>2</v>
      </c>
      <c r="E73" s="4" t="s">
        <v>76</v>
      </c>
      <c r="F73" s="14" t="s">
        <v>139</v>
      </c>
      <c r="G73" s="5" t="s">
        <v>326</v>
      </c>
      <c r="H73" s="5" t="s">
        <v>105</v>
      </c>
      <c r="I73" s="14" t="s">
        <v>37</v>
      </c>
      <c r="J73" s="271"/>
    </row>
    <row r="74" spans="1:10" x14ac:dyDescent="0.3">
      <c r="A74" s="271"/>
      <c r="B74" s="161"/>
      <c r="C74" s="161"/>
      <c r="D74" s="14">
        <v>3</v>
      </c>
      <c r="E74" s="4" t="s">
        <v>77</v>
      </c>
      <c r="F74" s="14" t="s">
        <v>140</v>
      </c>
      <c r="G74" s="5" t="s">
        <v>327</v>
      </c>
      <c r="H74" s="5" t="s">
        <v>107</v>
      </c>
      <c r="I74" s="14" t="s">
        <v>37</v>
      </c>
      <c r="J74" s="271"/>
    </row>
    <row r="75" spans="1:10" x14ac:dyDescent="0.3">
      <c r="A75" s="271"/>
      <c r="B75" s="161"/>
      <c r="C75" s="161"/>
      <c r="D75" s="14">
        <v>4</v>
      </c>
      <c r="E75" s="4" t="s">
        <v>78</v>
      </c>
      <c r="F75" s="14" t="s">
        <v>93</v>
      </c>
      <c r="G75" s="5" t="s">
        <v>326</v>
      </c>
      <c r="H75" s="5" t="s">
        <v>108</v>
      </c>
      <c r="I75" s="14" t="s">
        <v>37</v>
      </c>
      <c r="J75" s="271"/>
    </row>
    <row r="76" spans="1:10" x14ac:dyDescent="0.3">
      <c r="A76" s="271"/>
      <c r="B76" s="161"/>
      <c r="C76" s="161"/>
      <c r="D76" s="14">
        <v>5</v>
      </c>
      <c r="E76" s="4" t="s">
        <v>79</v>
      </c>
      <c r="F76" s="14" t="s">
        <v>141</v>
      </c>
      <c r="G76" s="5" t="s">
        <v>326</v>
      </c>
      <c r="H76" s="5" t="s">
        <v>105</v>
      </c>
      <c r="I76" s="14" t="s">
        <v>37</v>
      </c>
      <c r="J76" s="271"/>
    </row>
    <row r="77" spans="1:10" x14ac:dyDescent="0.3">
      <c r="A77" s="271"/>
      <c r="B77" s="161"/>
      <c r="C77" s="161"/>
      <c r="D77" s="14">
        <v>6</v>
      </c>
      <c r="E77" s="4" t="s">
        <v>80</v>
      </c>
      <c r="F77" s="14" t="s">
        <v>95</v>
      </c>
      <c r="G77" s="5" t="s">
        <v>328</v>
      </c>
      <c r="H77" s="5" t="s">
        <v>110</v>
      </c>
      <c r="I77" s="14" t="s">
        <v>37</v>
      </c>
      <c r="J77" s="271"/>
    </row>
    <row r="78" spans="1:10" x14ac:dyDescent="0.25">
      <c r="A78" s="271"/>
      <c r="B78" s="161"/>
      <c r="C78" s="161"/>
      <c r="D78" s="14">
        <v>7</v>
      </c>
      <c r="E78" s="4" t="s">
        <v>81</v>
      </c>
      <c r="F78" s="33" t="s">
        <v>145</v>
      </c>
      <c r="G78" s="5" t="s">
        <v>326</v>
      </c>
      <c r="H78" s="5" t="s">
        <v>106</v>
      </c>
      <c r="I78" s="14" t="s">
        <v>37</v>
      </c>
      <c r="J78" s="271"/>
    </row>
    <row r="79" spans="1:10" x14ac:dyDescent="0.3">
      <c r="A79" s="271"/>
      <c r="B79" s="161"/>
      <c r="C79" s="161"/>
      <c r="D79" s="14">
        <v>8</v>
      </c>
      <c r="E79" s="4" t="s">
        <v>82</v>
      </c>
      <c r="F79" s="14">
        <v>5</v>
      </c>
      <c r="G79" s="5" t="s">
        <v>329</v>
      </c>
      <c r="H79" s="5" t="s">
        <v>111</v>
      </c>
      <c r="I79" s="14" t="s">
        <v>37</v>
      </c>
      <c r="J79" s="271"/>
    </row>
    <row r="80" spans="1:10" x14ac:dyDescent="0.3">
      <c r="A80" s="271"/>
      <c r="B80" s="161"/>
      <c r="C80" s="161"/>
      <c r="D80" s="14">
        <v>9</v>
      </c>
      <c r="E80" s="4" t="s">
        <v>83</v>
      </c>
      <c r="F80" s="19" t="s">
        <v>43</v>
      </c>
      <c r="G80" s="34" t="s">
        <v>102</v>
      </c>
      <c r="H80" s="5" t="s">
        <v>113</v>
      </c>
      <c r="I80" s="14" t="s">
        <v>37</v>
      </c>
      <c r="J80" s="271"/>
    </row>
    <row r="81" spans="1:10" x14ac:dyDescent="0.3">
      <c r="A81" s="271"/>
      <c r="B81" s="161"/>
      <c r="C81" s="161"/>
      <c r="D81" s="14">
        <v>10</v>
      </c>
      <c r="E81" s="4" t="s">
        <v>88</v>
      </c>
      <c r="F81" s="14" t="s">
        <v>146</v>
      </c>
      <c r="G81" s="5" t="s">
        <v>326</v>
      </c>
      <c r="H81" s="5" t="s">
        <v>105</v>
      </c>
      <c r="I81" s="14" t="s">
        <v>37</v>
      </c>
      <c r="J81" s="271"/>
    </row>
    <row r="82" spans="1:10" x14ac:dyDescent="0.3">
      <c r="A82" s="271"/>
      <c r="B82" s="161"/>
      <c r="C82" s="161"/>
      <c r="D82" s="14">
        <v>11</v>
      </c>
      <c r="E82" s="4" t="s">
        <v>84</v>
      </c>
      <c r="F82" s="35" t="s">
        <v>147</v>
      </c>
      <c r="G82" s="5" t="s">
        <v>328</v>
      </c>
      <c r="H82" s="5" t="s">
        <v>110</v>
      </c>
      <c r="I82" s="14" t="s">
        <v>37</v>
      </c>
      <c r="J82" s="271"/>
    </row>
    <row r="83" spans="1:10" x14ac:dyDescent="0.3">
      <c r="A83" s="271"/>
      <c r="B83" s="161"/>
      <c r="C83" s="161"/>
      <c r="D83" s="14">
        <v>12</v>
      </c>
      <c r="E83" s="4" t="s">
        <v>85</v>
      </c>
      <c r="F83" s="14" t="s">
        <v>142</v>
      </c>
      <c r="G83" s="5" t="s">
        <v>330</v>
      </c>
      <c r="H83" s="5" t="s">
        <v>114</v>
      </c>
      <c r="I83" s="14" t="s">
        <v>37</v>
      </c>
      <c r="J83" s="271"/>
    </row>
    <row r="84" spans="1:10" x14ac:dyDescent="0.3">
      <c r="A84" s="271"/>
      <c r="B84" s="161"/>
      <c r="C84" s="161"/>
      <c r="D84" s="14">
        <v>13</v>
      </c>
      <c r="E84" s="4" t="s">
        <v>86</v>
      </c>
      <c r="F84" s="14" t="s">
        <v>143</v>
      </c>
      <c r="G84" s="5" t="s">
        <v>330</v>
      </c>
      <c r="H84" s="5" t="s">
        <v>112</v>
      </c>
      <c r="I84" s="14" t="s">
        <v>37</v>
      </c>
      <c r="J84" s="271"/>
    </row>
    <row r="85" spans="1:10" x14ac:dyDescent="0.3">
      <c r="A85" s="271"/>
      <c r="B85" s="161"/>
      <c r="C85" s="161"/>
      <c r="D85" s="14">
        <v>14</v>
      </c>
      <c r="E85" s="4" t="s">
        <v>87</v>
      </c>
      <c r="F85" s="14">
        <v>7738004598</v>
      </c>
      <c r="G85" s="5" t="s">
        <v>330</v>
      </c>
      <c r="H85" s="5" t="s">
        <v>115</v>
      </c>
      <c r="I85" s="14" t="s">
        <v>37</v>
      </c>
      <c r="J85" s="271"/>
    </row>
    <row r="86" spans="1:10" x14ac:dyDescent="0.3">
      <c r="A86" s="271"/>
      <c r="B86" s="161"/>
      <c r="C86" s="161"/>
      <c r="D86" s="14">
        <v>15</v>
      </c>
      <c r="E86" s="4" t="s">
        <v>89</v>
      </c>
      <c r="F86" s="14" t="s">
        <v>144</v>
      </c>
      <c r="G86" s="5" t="s">
        <v>326</v>
      </c>
      <c r="H86" s="5" t="s">
        <v>109</v>
      </c>
      <c r="I86" s="14" t="s">
        <v>37</v>
      </c>
      <c r="J86" s="271"/>
    </row>
    <row r="87" spans="1:10" x14ac:dyDescent="0.3">
      <c r="A87" s="271"/>
      <c r="B87" s="161"/>
      <c r="C87" s="161"/>
      <c r="D87" s="14">
        <v>16</v>
      </c>
      <c r="E87" s="4" t="s">
        <v>90</v>
      </c>
      <c r="F87" s="19" t="s">
        <v>43</v>
      </c>
      <c r="G87" s="5" t="s">
        <v>124</v>
      </c>
      <c r="H87" s="5" t="s">
        <v>148</v>
      </c>
      <c r="I87" s="14" t="s">
        <v>37</v>
      </c>
      <c r="J87" s="271"/>
    </row>
    <row r="89" spans="1:10" x14ac:dyDescent="0.3">
      <c r="A89" s="274" t="s">
        <v>149</v>
      </c>
      <c r="B89" s="277" t="s">
        <v>778</v>
      </c>
      <c r="C89" s="277" t="s">
        <v>70</v>
      </c>
      <c r="D89" s="36">
        <v>1</v>
      </c>
      <c r="E89" s="37" t="s">
        <v>75</v>
      </c>
      <c r="F89" s="36" t="s">
        <v>249</v>
      </c>
      <c r="G89" s="38" t="s">
        <v>326</v>
      </c>
      <c r="H89" s="38" t="s">
        <v>104</v>
      </c>
      <c r="I89" s="36" t="s">
        <v>37</v>
      </c>
      <c r="J89" s="274" t="s">
        <v>182</v>
      </c>
    </row>
    <row r="90" spans="1:10" x14ac:dyDescent="0.3">
      <c r="A90" s="275"/>
      <c r="B90" s="149"/>
      <c r="C90" s="149"/>
      <c r="D90" s="39">
        <v>2</v>
      </c>
      <c r="E90" s="40" t="s">
        <v>76</v>
      </c>
      <c r="F90" s="39" t="s">
        <v>249</v>
      </c>
      <c r="G90" s="41" t="s">
        <v>326</v>
      </c>
      <c r="H90" s="41" t="s">
        <v>105</v>
      </c>
      <c r="I90" s="39" t="s">
        <v>37</v>
      </c>
      <c r="J90" s="275"/>
    </row>
    <row r="91" spans="1:10" x14ac:dyDescent="0.3">
      <c r="A91" s="275"/>
      <c r="B91" s="149"/>
      <c r="C91" s="149"/>
      <c r="D91" s="39">
        <v>3</v>
      </c>
      <c r="E91" s="40" t="s">
        <v>77</v>
      </c>
      <c r="F91" s="39" t="s">
        <v>92</v>
      </c>
      <c r="G91" s="41" t="s">
        <v>327</v>
      </c>
      <c r="H91" s="41" t="s">
        <v>107</v>
      </c>
      <c r="I91" s="39" t="s">
        <v>37</v>
      </c>
      <c r="J91" s="275"/>
    </row>
    <row r="92" spans="1:10" x14ac:dyDescent="0.3">
      <c r="A92" s="275"/>
      <c r="B92" s="149"/>
      <c r="C92" s="149"/>
      <c r="D92" s="39">
        <v>4</v>
      </c>
      <c r="E92" s="40" t="s">
        <v>78</v>
      </c>
      <c r="F92" s="39" t="s">
        <v>93</v>
      </c>
      <c r="G92" s="41" t="s">
        <v>326</v>
      </c>
      <c r="H92" s="41" t="s">
        <v>108</v>
      </c>
      <c r="I92" s="39" t="s">
        <v>37</v>
      </c>
      <c r="J92" s="275"/>
    </row>
    <row r="93" spans="1:10" x14ac:dyDescent="0.3">
      <c r="A93" s="275"/>
      <c r="B93" s="149"/>
      <c r="C93" s="149"/>
      <c r="D93" s="39">
        <v>5</v>
      </c>
      <c r="E93" s="40" t="s">
        <v>79</v>
      </c>
      <c r="F93" s="39" t="s">
        <v>94</v>
      </c>
      <c r="G93" s="41" t="s">
        <v>326</v>
      </c>
      <c r="H93" s="41" t="s">
        <v>105</v>
      </c>
      <c r="I93" s="39" t="s">
        <v>37</v>
      </c>
      <c r="J93" s="275"/>
    </row>
    <row r="94" spans="1:10" x14ac:dyDescent="0.3">
      <c r="A94" s="275"/>
      <c r="B94" s="149"/>
      <c r="C94" s="149"/>
      <c r="D94" s="39">
        <v>6</v>
      </c>
      <c r="E94" s="40" t="s">
        <v>80</v>
      </c>
      <c r="F94" s="39" t="s">
        <v>95</v>
      </c>
      <c r="G94" s="41" t="s">
        <v>328</v>
      </c>
      <c r="H94" s="41" t="s">
        <v>110</v>
      </c>
      <c r="I94" s="39" t="s">
        <v>37</v>
      </c>
      <c r="J94" s="275"/>
    </row>
    <row r="95" spans="1:10" x14ac:dyDescent="0.25">
      <c r="A95" s="275"/>
      <c r="B95" s="149"/>
      <c r="C95" s="149"/>
      <c r="D95" s="39">
        <v>7</v>
      </c>
      <c r="E95" s="40" t="s">
        <v>81</v>
      </c>
      <c r="F95" s="42" t="s">
        <v>96</v>
      </c>
      <c r="G95" s="41" t="s">
        <v>326</v>
      </c>
      <c r="H95" s="41" t="s">
        <v>106</v>
      </c>
      <c r="I95" s="39" t="s">
        <v>37</v>
      </c>
      <c r="J95" s="275"/>
    </row>
    <row r="96" spans="1:10" x14ac:dyDescent="0.3">
      <c r="A96" s="275"/>
      <c r="B96" s="149"/>
      <c r="C96" s="149"/>
      <c r="D96" s="39">
        <v>8</v>
      </c>
      <c r="E96" s="40" t="s">
        <v>82</v>
      </c>
      <c r="F96" s="39">
        <v>1</v>
      </c>
      <c r="G96" s="41" t="s">
        <v>329</v>
      </c>
      <c r="H96" s="41" t="s">
        <v>111</v>
      </c>
      <c r="I96" s="39" t="s">
        <v>37</v>
      </c>
      <c r="J96" s="275"/>
    </row>
    <row r="97" spans="1:10" x14ac:dyDescent="0.3">
      <c r="A97" s="275"/>
      <c r="B97" s="149"/>
      <c r="C97" s="149"/>
      <c r="D97" s="39">
        <v>9</v>
      </c>
      <c r="E97" s="40" t="s">
        <v>83</v>
      </c>
      <c r="F97" s="39" t="s">
        <v>43</v>
      </c>
      <c r="G97" s="41" t="s">
        <v>102</v>
      </c>
      <c r="H97" s="41" t="s">
        <v>113</v>
      </c>
      <c r="I97" s="39" t="s">
        <v>37</v>
      </c>
      <c r="J97" s="275"/>
    </row>
    <row r="98" spans="1:10" x14ac:dyDescent="0.3">
      <c r="A98" s="275"/>
      <c r="B98" s="149"/>
      <c r="C98" s="149"/>
      <c r="D98" s="39">
        <v>10</v>
      </c>
      <c r="E98" s="40" t="s">
        <v>88</v>
      </c>
      <c r="F98" s="39" t="s">
        <v>97</v>
      </c>
      <c r="G98" s="41" t="s">
        <v>326</v>
      </c>
      <c r="H98" s="41" t="s">
        <v>105</v>
      </c>
      <c r="I98" s="39" t="s">
        <v>37</v>
      </c>
      <c r="J98" s="275"/>
    </row>
    <row r="99" spans="1:10" x14ac:dyDescent="0.3">
      <c r="A99" s="275"/>
      <c r="B99" s="149"/>
      <c r="C99" s="149"/>
      <c r="D99" s="39">
        <v>11</v>
      </c>
      <c r="E99" s="40" t="s">
        <v>84</v>
      </c>
      <c r="F99" s="43">
        <v>46032</v>
      </c>
      <c r="G99" s="41" t="s">
        <v>328</v>
      </c>
      <c r="H99" s="41" t="s">
        <v>110</v>
      </c>
      <c r="I99" s="39" t="s">
        <v>37</v>
      </c>
      <c r="J99" s="275"/>
    </row>
    <row r="100" spans="1:10" x14ac:dyDescent="0.3">
      <c r="A100" s="275"/>
      <c r="B100" s="149"/>
      <c r="C100" s="149"/>
      <c r="D100" s="39">
        <v>12</v>
      </c>
      <c r="E100" s="40" t="s">
        <v>85</v>
      </c>
      <c r="F100" s="39" t="s">
        <v>98</v>
      </c>
      <c r="G100" s="41" t="s">
        <v>330</v>
      </c>
      <c r="H100" s="41" t="s">
        <v>114</v>
      </c>
      <c r="I100" s="39" t="s">
        <v>37</v>
      </c>
      <c r="J100" s="275"/>
    </row>
    <row r="101" spans="1:10" x14ac:dyDescent="0.3">
      <c r="A101" s="275"/>
      <c r="B101" s="149"/>
      <c r="C101" s="149"/>
      <c r="D101" s="39">
        <v>13</v>
      </c>
      <c r="E101" s="40" t="s">
        <v>86</v>
      </c>
      <c r="F101" s="39" t="s">
        <v>150</v>
      </c>
      <c r="G101" s="41" t="s">
        <v>330</v>
      </c>
      <c r="H101" s="41" t="s">
        <v>112</v>
      </c>
      <c r="I101" s="39" t="s">
        <v>37</v>
      </c>
      <c r="J101" s="275"/>
    </row>
    <row r="102" spans="1:10" x14ac:dyDescent="0.3">
      <c r="A102" s="275"/>
      <c r="B102" s="149"/>
      <c r="C102" s="149"/>
      <c r="D102" s="39">
        <v>14</v>
      </c>
      <c r="E102" s="40" t="s">
        <v>87</v>
      </c>
      <c r="F102" s="39">
        <v>8691047788</v>
      </c>
      <c r="G102" s="41" t="s">
        <v>330</v>
      </c>
      <c r="H102" s="41" t="s">
        <v>115</v>
      </c>
      <c r="I102" s="39" t="s">
        <v>37</v>
      </c>
      <c r="J102" s="275"/>
    </row>
    <row r="103" spans="1:10" x14ac:dyDescent="0.3">
      <c r="A103" s="275"/>
      <c r="B103" s="149"/>
      <c r="C103" s="149"/>
      <c r="D103" s="39">
        <v>15</v>
      </c>
      <c r="E103" s="40" t="s">
        <v>89</v>
      </c>
      <c r="F103" s="39" t="s">
        <v>100</v>
      </c>
      <c r="G103" s="41" t="s">
        <v>326</v>
      </c>
      <c r="H103" s="41" t="s">
        <v>109</v>
      </c>
      <c r="I103" s="39" t="s">
        <v>37</v>
      </c>
      <c r="J103" s="275"/>
    </row>
    <row r="104" spans="1:10" x14ac:dyDescent="0.3">
      <c r="A104" s="276"/>
      <c r="B104" s="278"/>
      <c r="C104" s="278"/>
      <c r="D104" s="39">
        <v>16</v>
      </c>
      <c r="E104" s="40" t="s">
        <v>90</v>
      </c>
      <c r="F104" s="39" t="s">
        <v>43</v>
      </c>
      <c r="G104" s="41" t="s">
        <v>124</v>
      </c>
      <c r="H104" s="41" t="s">
        <v>116</v>
      </c>
      <c r="I104" s="39" t="s">
        <v>65</v>
      </c>
      <c r="J104" s="276"/>
    </row>
    <row r="106" spans="1:10" x14ac:dyDescent="0.3">
      <c r="A106" s="274" t="s">
        <v>151</v>
      </c>
      <c r="B106" s="277" t="s">
        <v>779</v>
      </c>
      <c r="C106" s="277" t="s">
        <v>70</v>
      </c>
      <c r="D106" s="36">
        <v>1</v>
      </c>
      <c r="E106" s="37" t="s">
        <v>75</v>
      </c>
      <c r="F106" s="36" t="s">
        <v>128</v>
      </c>
      <c r="G106" s="38" t="s">
        <v>326</v>
      </c>
      <c r="H106" s="38" t="s">
        <v>104</v>
      </c>
      <c r="I106" s="36" t="s">
        <v>37</v>
      </c>
      <c r="J106" s="274" t="s">
        <v>182</v>
      </c>
    </row>
    <row r="107" spans="1:10" x14ac:dyDescent="0.3">
      <c r="A107" s="275"/>
      <c r="B107" s="149"/>
      <c r="C107" s="149"/>
      <c r="D107" s="39">
        <v>2</v>
      </c>
      <c r="E107" s="40" t="s">
        <v>76</v>
      </c>
      <c r="F107" s="39" t="s">
        <v>128</v>
      </c>
      <c r="G107" s="41" t="s">
        <v>326</v>
      </c>
      <c r="H107" s="41" t="s">
        <v>105</v>
      </c>
      <c r="I107" s="39" t="s">
        <v>37</v>
      </c>
      <c r="J107" s="275"/>
    </row>
    <row r="108" spans="1:10" x14ac:dyDescent="0.3">
      <c r="A108" s="275"/>
      <c r="B108" s="149"/>
      <c r="C108" s="149"/>
      <c r="D108" s="39">
        <v>3</v>
      </c>
      <c r="E108" s="40" t="s">
        <v>77</v>
      </c>
      <c r="F108" s="39" t="s">
        <v>152</v>
      </c>
      <c r="G108" s="41" t="s">
        <v>327</v>
      </c>
      <c r="H108" s="41" t="s">
        <v>107</v>
      </c>
      <c r="I108" s="39" t="s">
        <v>37</v>
      </c>
      <c r="J108" s="275"/>
    </row>
    <row r="109" spans="1:10" x14ac:dyDescent="0.3">
      <c r="A109" s="275"/>
      <c r="B109" s="149"/>
      <c r="C109" s="149"/>
      <c r="D109" s="39">
        <v>4</v>
      </c>
      <c r="E109" s="40" t="s">
        <v>78</v>
      </c>
      <c r="F109" s="39"/>
      <c r="G109" s="41" t="s">
        <v>326</v>
      </c>
      <c r="H109" s="41" t="s">
        <v>108</v>
      </c>
      <c r="I109" s="39" t="s">
        <v>37</v>
      </c>
      <c r="J109" s="275"/>
    </row>
    <row r="110" spans="1:10" x14ac:dyDescent="0.3">
      <c r="A110" s="275"/>
      <c r="B110" s="149"/>
      <c r="C110" s="149"/>
      <c r="D110" s="39">
        <v>5</v>
      </c>
      <c r="E110" s="40" t="s">
        <v>79</v>
      </c>
      <c r="F110" s="39" t="s">
        <v>94</v>
      </c>
      <c r="G110" s="41" t="s">
        <v>326</v>
      </c>
      <c r="H110" s="41" t="s">
        <v>105</v>
      </c>
      <c r="I110" s="39" t="s">
        <v>37</v>
      </c>
      <c r="J110" s="275"/>
    </row>
    <row r="111" spans="1:10" x14ac:dyDescent="0.3">
      <c r="A111" s="275"/>
      <c r="B111" s="149"/>
      <c r="C111" s="149"/>
      <c r="D111" s="39">
        <v>6</v>
      </c>
      <c r="E111" s="40" t="s">
        <v>80</v>
      </c>
      <c r="F111" s="39" t="s">
        <v>95</v>
      </c>
      <c r="G111" s="41" t="s">
        <v>328</v>
      </c>
      <c r="H111" s="41" t="s">
        <v>110</v>
      </c>
      <c r="I111" s="39" t="s">
        <v>37</v>
      </c>
      <c r="J111" s="275"/>
    </row>
    <row r="112" spans="1:10" x14ac:dyDescent="0.25">
      <c r="A112" s="275"/>
      <c r="B112" s="149"/>
      <c r="C112" s="149"/>
      <c r="D112" s="39">
        <v>7</v>
      </c>
      <c r="E112" s="40" t="s">
        <v>81</v>
      </c>
      <c r="F112" s="42" t="s">
        <v>96</v>
      </c>
      <c r="G112" s="41" t="s">
        <v>326</v>
      </c>
      <c r="H112" s="41" t="s">
        <v>106</v>
      </c>
      <c r="I112" s="39" t="s">
        <v>37</v>
      </c>
      <c r="J112" s="275"/>
    </row>
    <row r="113" spans="1:10" x14ac:dyDescent="0.3">
      <c r="A113" s="275"/>
      <c r="B113" s="149"/>
      <c r="C113" s="149"/>
      <c r="D113" s="39">
        <v>8</v>
      </c>
      <c r="E113" s="40" t="s">
        <v>82</v>
      </c>
      <c r="F113" s="39">
        <v>1</v>
      </c>
      <c r="G113" s="41" t="s">
        <v>329</v>
      </c>
      <c r="H113" s="41" t="s">
        <v>111</v>
      </c>
      <c r="I113" s="39" t="s">
        <v>37</v>
      </c>
      <c r="J113" s="275"/>
    </row>
    <row r="114" spans="1:10" x14ac:dyDescent="0.3">
      <c r="A114" s="275"/>
      <c r="B114" s="149"/>
      <c r="C114" s="149"/>
      <c r="D114" s="39">
        <v>9</v>
      </c>
      <c r="E114" s="40" t="s">
        <v>83</v>
      </c>
      <c r="F114" s="39" t="s">
        <v>43</v>
      </c>
      <c r="G114" s="41" t="s">
        <v>102</v>
      </c>
      <c r="H114" s="41" t="s">
        <v>113</v>
      </c>
      <c r="I114" s="39" t="s">
        <v>37</v>
      </c>
      <c r="J114" s="275"/>
    </row>
    <row r="115" spans="1:10" x14ac:dyDescent="0.3">
      <c r="A115" s="275"/>
      <c r="B115" s="149"/>
      <c r="C115" s="149"/>
      <c r="D115" s="39">
        <v>10</v>
      </c>
      <c r="E115" s="40" t="s">
        <v>88</v>
      </c>
      <c r="F115" s="39" t="s">
        <v>97</v>
      </c>
      <c r="G115" s="41" t="s">
        <v>326</v>
      </c>
      <c r="H115" s="41" t="s">
        <v>105</v>
      </c>
      <c r="I115" s="39" t="s">
        <v>37</v>
      </c>
      <c r="J115" s="275"/>
    </row>
    <row r="116" spans="1:10" x14ac:dyDescent="0.3">
      <c r="A116" s="275"/>
      <c r="B116" s="149"/>
      <c r="C116" s="149"/>
      <c r="D116" s="39">
        <v>11</v>
      </c>
      <c r="E116" s="40" t="s">
        <v>84</v>
      </c>
      <c r="F116" s="43">
        <v>46032</v>
      </c>
      <c r="G116" s="41" t="s">
        <v>328</v>
      </c>
      <c r="H116" s="41" t="s">
        <v>110</v>
      </c>
      <c r="I116" s="39" t="s">
        <v>37</v>
      </c>
      <c r="J116" s="275"/>
    </row>
    <row r="117" spans="1:10" x14ac:dyDescent="0.3">
      <c r="A117" s="275"/>
      <c r="B117" s="149"/>
      <c r="C117" s="149"/>
      <c r="D117" s="39">
        <v>12</v>
      </c>
      <c r="E117" s="40" t="s">
        <v>85</v>
      </c>
      <c r="F117" s="39" t="s">
        <v>98</v>
      </c>
      <c r="G117" s="41" t="s">
        <v>330</v>
      </c>
      <c r="H117" s="41" t="s">
        <v>114</v>
      </c>
      <c r="I117" s="39" t="s">
        <v>37</v>
      </c>
      <c r="J117" s="275"/>
    </row>
    <row r="118" spans="1:10" x14ac:dyDescent="0.3">
      <c r="A118" s="275"/>
      <c r="B118" s="149"/>
      <c r="C118" s="149"/>
      <c r="D118" s="39">
        <v>13</v>
      </c>
      <c r="E118" s="40" t="s">
        <v>86</v>
      </c>
      <c r="F118" s="39" t="s">
        <v>99</v>
      </c>
      <c r="G118" s="41" t="s">
        <v>330</v>
      </c>
      <c r="H118" s="41" t="s">
        <v>112</v>
      </c>
      <c r="I118" s="39" t="s">
        <v>37</v>
      </c>
      <c r="J118" s="275"/>
    </row>
    <row r="119" spans="1:10" x14ac:dyDescent="0.3">
      <c r="A119" s="275"/>
      <c r="B119" s="149"/>
      <c r="C119" s="149"/>
      <c r="D119" s="39">
        <v>14</v>
      </c>
      <c r="E119" s="40" t="s">
        <v>87</v>
      </c>
      <c r="F119" s="39" t="s">
        <v>184</v>
      </c>
      <c r="G119" s="41" t="s">
        <v>330</v>
      </c>
      <c r="H119" s="41" t="s">
        <v>115</v>
      </c>
      <c r="I119" s="39" t="s">
        <v>37</v>
      </c>
      <c r="J119" s="275"/>
    </row>
    <row r="120" spans="1:10" x14ac:dyDescent="0.3">
      <c r="A120" s="275"/>
      <c r="B120" s="149"/>
      <c r="C120" s="149"/>
      <c r="D120" s="39">
        <v>15</v>
      </c>
      <c r="E120" s="40" t="s">
        <v>89</v>
      </c>
      <c r="F120" s="39" t="s">
        <v>100</v>
      </c>
      <c r="G120" s="41" t="s">
        <v>326</v>
      </c>
      <c r="H120" s="41" t="s">
        <v>109</v>
      </c>
      <c r="I120" s="39" t="s">
        <v>37</v>
      </c>
      <c r="J120" s="275"/>
    </row>
    <row r="121" spans="1:10" x14ac:dyDescent="0.3">
      <c r="A121" s="276"/>
      <c r="B121" s="278"/>
      <c r="C121" s="278"/>
      <c r="D121" s="39">
        <v>16</v>
      </c>
      <c r="E121" s="40" t="s">
        <v>90</v>
      </c>
      <c r="F121" s="39" t="s">
        <v>43</v>
      </c>
      <c r="G121" s="41" t="s">
        <v>124</v>
      </c>
      <c r="H121" s="41" t="s">
        <v>116</v>
      </c>
      <c r="I121" s="39" t="s">
        <v>182</v>
      </c>
      <c r="J121" s="276"/>
    </row>
    <row r="123" spans="1:10" x14ac:dyDescent="0.3">
      <c r="A123" s="271" t="s">
        <v>179</v>
      </c>
      <c r="B123" s="161" t="s">
        <v>780</v>
      </c>
      <c r="C123" s="161" t="s">
        <v>70</v>
      </c>
      <c r="D123" s="14">
        <v>1</v>
      </c>
      <c r="E123" s="4" t="s">
        <v>75</v>
      </c>
      <c r="F123" s="14" t="s">
        <v>128</v>
      </c>
      <c r="G123" s="5" t="s">
        <v>326</v>
      </c>
      <c r="H123" s="5" t="s">
        <v>104</v>
      </c>
      <c r="I123" s="14" t="s">
        <v>37</v>
      </c>
      <c r="J123" s="271" t="s">
        <v>182</v>
      </c>
    </row>
    <row r="124" spans="1:10" x14ac:dyDescent="0.3">
      <c r="A124" s="271"/>
      <c r="B124" s="161"/>
      <c r="C124" s="161"/>
      <c r="D124" s="14">
        <v>2</v>
      </c>
      <c r="E124" s="4" t="s">
        <v>76</v>
      </c>
      <c r="F124" s="14" t="str">
        <f>F123</f>
        <v>Money Maker EUR</v>
      </c>
      <c r="G124" s="5" t="s">
        <v>326</v>
      </c>
      <c r="H124" s="5" t="s">
        <v>105</v>
      </c>
      <c r="I124" s="14" t="s">
        <v>37</v>
      </c>
      <c r="J124" s="271"/>
    </row>
    <row r="125" spans="1:10" x14ac:dyDescent="0.3">
      <c r="A125" s="271"/>
      <c r="B125" s="161"/>
      <c r="C125" s="161"/>
      <c r="D125" s="14">
        <v>3</v>
      </c>
      <c r="E125" s="4" t="s">
        <v>77</v>
      </c>
      <c r="F125" s="14" t="s">
        <v>180</v>
      </c>
      <c r="G125" s="5" t="s">
        <v>327</v>
      </c>
      <c r="H125" s="5" t="s">
        <v>107</v>
      </c>
      <c r="I125" s="14" t="s">
        <v>37</v>
      </c>
      <c r="J125" s="271"/>
    </row>
    <row r="126" spans="1:10" x14ac:dyDescent="0.3">
      <c r="A126" s="271"/>
      <c r="B126" s="161"/>
      <c r="C126" s="161"/>
      <c r="D126" s="14">
        <v>4</v>
      </c>
      <c r="E126" s="4" t="s">
        <v>78</v>
      </c>
      <c r="F126" s="14" t="s">
        <v>157</v>
      </c>
      <c r="G126" s="5" t="s">
        <v>326</v>
      </c>
      <c r="H126" s="5" t="s">
        <v>108</v>
      </c>
      <c r="I126" s="14" t="s">
        <v>37</v>
      </c>
      <c r="J126" s="271"/>
    </row>
    <row r="127" spans="1:10" x14ac:dyDescent="0.3">
      <c r="A127" s="271"/>
      <c r="B127" s="161"/>
      <c r="C127" s="161"/>
      <c r="D127" s="14">
        <v>5</v>
      </c>
      <c r="E127" s="4" t="s">
        <v>79</v>
      </c>
      <c r="F127" s="14" t="s">
        <v>94</v>
      </c>
      <c r="G127" s="5" t="s">
        <v>326</v>
      </c>
      <c r="H127" s="5" t="s">
        <v>105</v>
      </c>
      <c r="I127" s="14" t="s">
        <v>37</v>
      </c>
      <c r="J127" s="271"/>
    </row>
    <row r="128" spans="1:10" x14ac:dyDescent="0.3">
      <c r="A128" s="271"/>
      <c r="B128" s="161"/>
      <c r="C128" s="161"/>
      <c r="D128" s="14">
        <v>6</v>
      </c>
      <c r="E128" s="4" t="s">
        <v>80</v>
      </c>
      <c r="F128" s="14" t="s">
        <v>95</v>
      </c>
      <c r="G128" s="5" t="s">
        <v>328</v>
      </c>
      <c r="H128" s="5" t="s">
        <v>110</v>
      </c>
      <c r="I128" s="14" t="s">
        <v>37</v>
      </c>
      <c r="J128" s="271"/>
    </row>
    <row r="129" spans="1:10" x14ac:dyDescent="0.25">
      <c r="A129" s="271"/>
      <c r="B129" s="161"/>
      <c r="C129" s="161"/>
      <c r="D129" s="14">
        <v>7</v>
      </c>
      <c r="E129" s="4" t="s">
        <v>81</v>
      </c>
      <c r="F129" s="33" t="s">
        <v>166</v>
      </c>
      <c r="G129" s="5" t="s">
        <v>326</v>
      </c>
      <c r="H129" s="5" t="s">
        <v>106</v>
      </c>
      <c r="I129" s="14" t="s">
        <v>37</v>
      </c>
      <c r="J129" s="271"/>
    </row>
    <row r="130" spans="1:10" x14ac:dyDescent="0.3">
      <c r="A130" s="271"/>
      <c r="B130" s="161"/>
      <c r="C130" s="161"/>
      <c r="D130" s="14">
        <v>8</v>
      </c>
      <c r="E130" s="4" t="s">
        <v>82</v>
      </c>
      <c r="F130" s="14" t="s">
        <v>181</v>
      </c>
      <c r="G130" s="5" t="s">
        <v>329</v>
      </c>
      <c r="H130" s="5" t="s">
        <v>111</v>
      </c>
      <c r="I130" s="14" t="s">
        <v>37</v>
      </c>
      <c r="J130" s="271"/>
    </row>
    <row r="131" spans="1:10" x14ac:dyDescent="0.3">
      <c r="A131" s="271"/>
      <c r="B131" s="161"/>
      <c r="C131" s="161"/>
      <c r="D131" s="14">
        <v>9</v>
      </c>
      <c r="E131" s="4" t="s">
        <v>83</v>
      </c>
      <c r="F131" s="19" t="s">
        <v>43</v>
      </c>
      <c r="G131" s="34" t="s">
        <v>102</v>
      </c>
      <c r="H131" s="5" t="s">
        <v>113</v>
      </c>
      <c r="I131" s="14" t="s">
        <v>37</v>
      </c>
      <c r="J131" s="271"/>
    </row>
    <row r="132" spans="1:10" x14ac:dyDescent="0.3">
      <c r="A132" s="271"/>
      <c r="B132" s="161"/>
      <c r="C132" s="161"/>
      <c r="D132" s="14">
        <v>10</v>
      </c>
      <c r="E132" s="4" t="s">
        <v>88</v>
      </c>
      <c r="F132" s="14" t="s">
        <v>174</v>
      </c>
      <c r="G132" s="5" t="s">
        <v>326</v>
      </c>
      <c r="H132" s="5" t="s">
        <v>105</v>
      </c>
      <c r="I132" s="14" t="s">
        <v>37</v>
      </c>
      <c r="J132" s="271"/>
    </row>
    <row r="133" spans="1:10" x14ac:dyDescent="0.3">
      <c r="A133" s="271"/>
      <c r="B133" s="161"/>
      <c r="C133" s="161"/>
      <c r="D133" s="14">
        <v>11</v>
      </c>
      <c r="E133" s="4" t="s">
        <v>84</v>
      </c>
      <c r="F133" s="35">
        <v>46032</v>
      </c>
      <c r="G133" s="5" t="s">
        <v>328</v>
      </c>
      <c r="H133" s="5" t="s">
        <v>110</v>
      </c>
      <c r="I133" s="14" t="s">
        <v>37</v>
      </c>
      <c r="J133" s="271"/>
    </row>
    <row r="134" spans="1:10" x14ac:dyDescent="0.3">
      <c r="A134" s="271"/>
      <c r="B134" s="161"/>
      <c r="C134" s="161"/>
      <c r="D134" s="14">
        <v>12</v>
      </c>
      <c r="E134" s="4" t="s">
        <v>85</v>
      </c>
      <c r="F134" s="14" t="str">
        <f>IF(F123="Donald Easter","Donal Easter LLC",IF(F123="Aspire Intl  ","Aspire International",IF(F123="Money Maker EUR","MoneyMaker Ltd",IF(F123="TanishQ Entrp","TanishQ Enterpresis","NA"))))</f>
        <v>MoneyMaker Ltd</v>
      </c>
      <c r="G134" s="5" t="s">
        <v>330</v>
      </c>
      <c r="H134" s="5" t="s">
        <v>114</v>
      </c>
      <c r="I134" s="14" t="s">
        <v>37</v>
      </c>
      <c r="J134" s="271"/>
    </row>
    <row r="135" spans="1:10" x14ac:dyDescent="0.3">
      <c r="A135" s="271"/>
      <c r="B135" s="161"/>
      <c r="C135" s="161"/>
      <c r="D135" s="14">
        <v>13</v>
      </c>
      <c r="E135" s="4" t="s">
        <v>86</v>
      </c>
      <c r="F135" s="14" t="s">
        <v>99</v>
      </c>
      <c r="G135" s="5" t="s">
        <v>330</v>
      </c>
      <c r="H135" s="5" t="s">
        <v>112</v>
      </c>
      <c r="I135" s="14" t="s">
        <v>37</v>
      </c>
      <c r="J135" s="271"/>
    </row>
    <row r="136" spans="1:10" x14ac:dyDescent="0.3">
      <c r="A136" s="271"/>
      <c r="B136" s="161"/>
      <c r="C136" s="161"/>
      <c r="D136" s="14">
        <v>14</v>
      </c>
      <c r="E136" s="4" t="s">
        <v>87</v>
      </c>
      <c r="F136" s="14">
        <v>8691047788</v>
      </c>
      <c r="G136" s="5" t="s">
        <v>330</v>
      </c>
      <c r="H136" s="5" t="s">
        <v>115</v>
      </c>
      <c r="I136" s="14" t="s">
        <v>37</v>
      </c>
      <c r="J136" s="271"/>
    </row>
    <row r="137" spans="1:10" x14ac:dyDescent="0.3">
      <c r="A137" s="271"/>
      <c r="B137" s="161"/>
      <c r="C137" s="161"/>
      <c r="D137" s="14">
        <v>15</v>
      </c>
      <c r="E137" s="4" t="s">
        <v>89</v>
      </c>
      <c r="F137" s="14" t="s">
        <v>121</v>
      </c>
      <c r="G137" s="5" t="s">
        <v>326</v>
      </c>
      <c r="H137" s="5" t="s">
        <v>109</v>
      </c>
      <c r="I137" s="14" t="s">
        <v>37</v>
      </c>
      <c r="J137" s="271"/>
    </row>
    <row r="138" spans="1:10" x14ac:dyDescent="0.3">
      <c r="A138" s="271"/>
      <c r="B138" s="161"/>
      <c r="C138" s="161"/>
      <c r="D138" s="14">
        <v>16</v>
      </c>
      <c r="E138" s="4" t="s">
        <v>90</v>
      </c>
      <c r="F138" s="19" t="s">
        <v>43</v>
      </c>
      <c r="G138" s="5" t="s">
        <v>124</v>
      </c>
      <c r="H138" s="5" t="s">
        <v>116</v>
      </c>
      <c r="I138" s="14" t="s">
        <v>65</v>
      </c>
      <c r="J138" s="271"/>
    </row>
    <row r="141" spans="1:10" x14ac:dyDescent="0.3">
      <c r="A141" s="271" t="s">
        <v>183</v>
      </c>
      <c r="B141" s="161" t="s">
        <v>781</v>
      </c>
      <c r="C141" s="161" t="s">
        <v>70</v>
      </c>
      <c r="D141" s="14">
        <v>1</v>
      </c>
      <c r="E141" s="4" t="s">
        <v>75</v>
      </c>
      <c r="F141" s="14" t="s">
        <v>139</v>
      </c>
      <c r="G141" s="5" t="s">
        <v>326</v>
      </c>
      <c r="H141" s="5" t="s">
        <v>104</v>
      </c>
      <c r="I141" s="14" t="s">
        <v>37</v>
      </c>
      <c r="J141" s="271" t="s">
        <v>182</v>
      </c>
    </row>
    <row r="142" spans="1:10" x14ac:dyDescent="0.3">
      <c r="A142" s="271"/>
      <c r="B142" s="161"/>
      <c r="C142" s="161"/>
      <c r="D142" s="14">
        <v>2</v>
      </c>
      <c r="E142" s="4" t="s">
        <v>76</v>
      </c>
      <c r="F142" s="14" t="str">
        <f>F141</f>
        <v>TanishQ Entrp</v>
      </c>
      <c r="G142" s="5" t="s">
        <v>326</v>
      </c>
      <c r="H142" s="5" t="s">
        <v>105</v>
      </c>
      <c r="I142" s="14" t="s">
        <v>37</v>
      </c>
      <c r="J142" s="271"/>
    </row>
    <row r="143" spans="1:10" x14ac:dyDescent="0.3">
      <c r="A143" s="271"/>
      <c r="B143" s="161"/>
      <c r="C143" s="161"/>
      <c r="D143" s="14">
        <v>3</v>
      </c>
      <c r="E143" s="4" t="s">
        <v>77</v>
      </c>
      <c r="F143" s="14" t="s">
        <v>185</v>
      </c>
      <c r="G143" s="5" t="s">
        <v>327</v>
      </c>
      <c r="H143" s="5" t="s">
        <v>107</v>
      </c>
      <c r="I143" s="14" t="s">
        <v>37</v>
      </c>
      <c r="J143" s="271"/>
    </row>
    <row r="144" spans="1:10" x14ac:dyDescent="0.3">
      <c r="A144" s="271"/>
      <c r="B144" s="161"/>
      <c r="C144" s="161"/>
      <c r="D144" s="14">
        <v>4</v>
      </c>
      <c r="E144" s="4" t="s">
        <v>78</v>
      </c>
      <c r="F144" s="14" t="s">
        <v>157</v>
      </c>
      <c r="G144" s="5" t="s">
        <v>326</v>
      </c>
      <c r="H144" s="5" t="s">
        <v>108</v>
      </c>
      <c r="I144" s="14" t="s">
        <v>37</v>
      </c>
      <c r="J144" s="271"/>
    </row>
    <row r="145" spans="1:10" x14ac:dyDescent="0.3">
      <c r="A145" s="271"/>
      <c r="B145" s="161"/>
      <c r="C145" s="161"/>
      <c r="D145" s="14">
        <v>5</v>
      </c>
      <c r="E145" s="4" t="s">
        <v>79</v>
      </c>
      <c r="F145" s="14" t="s">
        <v>94</v>
      </c>
      <c r="G145" s="5" t="s">
        <v>326</v>
      </c>
      <c r="H145" s="5" t="s">
        <v>105</v>
      </c>
      <c r="I145" s="14" t="s">
        <v>37</v>
      </c>
      <c r="J145" s="271"/>
    </row>
    <row r="146" spans="1:10" x14ac:dyDescent="0.3">
      <c r="A146" s="271"/>
      <c r="B146" s="161"/>
      <c r="C146" s="161"/>
      <c r="D146" s="14">
        <v>6</v>
      </c>
      <c r="E146" s="4" t="s">
        <v>80</v>
      </c>
      <c r="F146" s="14" t="s">
        <v>95</v>
      </c>
      <c r="G146" s="5" t="s">
        <v>328</v>
      </c>
      <c r="H146" s="5" t="s">
        <v>110</v>
      </c>
      <c r="I146" s="14" t="s">
        <v>37</v>
      </c>
      <c r="J146" s="271"/>
    </row>
    <row r="147" spans="1:10" x14ac:dyDescent="0.25">
      <c r="A147" s="271"/>
      <c r="B147" s="161"/>
      <c r="C147" s="161"/>
      <c r="D147" s="14">
        <v>7</v>
      </c>
      <c r="E147" s="4" t="s">
        <v>81</v>
      </c>
      <c r="F147" s="33" t="s">
        <v>165</v>
      </c>
      <c r="G147" s="5" t="s">
        <v>326</v>
      </c>
      <c r="H147" s="5" t="s">
        <v>106</v>
      </c>
      <c r="I147" s="14" t="s">
        <v>37</v>
      </c>
      <c r="J147" s="271"/>
    </row>
    <row r="148" spans="1:10" x14ac:dyDescent="0.3">
      <c r="A148" s="271"/>
      <c r="B148" s="161"/>
      <c r="C148" s="161"/>
      <c r="D148" s="14">
        <v>8</v>
      </c>
      <c r="E148" s="4" t="s">
        <v>82</v>
      </c>
      <c r="F148" s="14">
        <v>2</v>
      </c>
      <c r="G148" s="5" t="s">
        <v>329</v>
      </c>
      <c r="H148" s="5" t="s">
        <v>111</v>
      </c>
      <c r="I148" s="14" t="s">
        <v>37</v>
      </c>
      <c r="J148" s="271"/>
    </row>
    <row r="149" spans="1:10" x14ac:dyDescent="0.3">
      <c r="A149" s="271"/>
      <c r="B149" s="161"/>
      <c r="C149" s="161"/>
      <c r="D149" s="14">
        <v>9</v>
      </c>
      <c r="E149" s="4" t="s">
        <v>186</v>
      </c>
      <c r="F149" s="14" t="s">
        <v>187</v>
      </c>
      <c r="G149" s="5" t="s">
        <v>188</v>
      </c>
      <c r="H149" s="5" t="s">
        <v>189</v>
      </c>
      <c r="I149" s="14" t="s">
        <v>65</v>
      </c>
      <c r="J149" s="271"/>
    </row>
    <row r="150" spans="1:10" x14ac:dyDescent="0.3">
      <c r="A150" s="271"/>
      <c r="B150" s="161"/>
      <c r="C150" s="161"/>
      <c r="D150" s="14">
        <v>10</v>
      </c>
      <c r="E150" s="4" t="s">
        <v>83</v>
      </c>
      <c r="F150" s="19" t="s">
        <v>43</v>
      </c>
      <c r="G150" s="34" t="s">
        <v>102</v>
      </c>
      <c r="H150" s="5" t="s">
        <v>113</v>
      </c>
      <c r="I150" s="14" t="s">
        <v>37</v>
      </c>
      <c r="J150" s="271"/>
    </row>
    <row r="151" spans="1:10" x14ac:dyDescent="0.3">
      <c r="A151" s="271"/>
      <c r="B151" s="161"/>
      <c r="C151" s="161"/>
      <c r="D151" s="14">
        <v>11</v>
      </c>
      <c r="E151" s="4" t="s">
        <v>88</v>
      </c>
      <c r="F151" s="14" t="s">
        <v>97</v>
      </c>
      <c r="G151" s="5" t="s">
        <v>326</v>
      </c>
      <c r="H151" s="5" t="s">
        <v>105</v>
      </c>
      <c r="I151" s="14" t="s">
        <v>37</v>
      </c>
      <c r="J151" s="271"/>
    </row>
    <row r="152" spans="1:10" x14ac:dyDescent="0.3">
      <c r="A152" s="271"/>
      <c r="B152" s="161"/>
      <c r="C152" s="161"/>
      <c r="D152" s="14">
        <v>12</v>
      </c>
      <c r="E152" s="4" t="s">
        <v>84</v>
      </c>
      <c r="F152" s="35">
        <v>46032</v>
      </c>
      <c r="G152" s="5" t="s">
        <v>328</v>
      </c>
      <c r="H152" s="5" t="s">
        <v>110</v>
      </c>
      <c r="I152" s="14" t="s">
        <v>37</v>
      </c>
      <c r="J152" s="271"/>
    </row>
    <row r="153" spans="1:10" x14ac:dyDescent="0.3">
      <c r="A153" s="271"/>
      <c r="B153" s="161"/>
      <c r="C153" s="161"/>
      <c r="D153" s="14">
        <v>13</v>
      </c>
      <c r="E153" s="4" t="s">
        <v>85</v>
      </c>
      <c r="F153" s="14" t="str">
        <f>IF(F141="Donald Easter","Donal Easter LLC",IF(F141="Aspire Intl  ","Aspire International",IF(F141="Money Maker EUR","MoneyMaker Ltd",IF(F141="TanishQ Entrp","TanishQ Enterpresis","NA"))))</f>
        <v>TanishQ Enterpresis</v>
      </c>
      <c r="G153" s="5" t="s">
        <v>330</v>
      </c>
      <c r="H153" s="5" t="s">
        <v>114</v>
      </c>
      <c r="I153" s="14" t="s">
        <v>37</v>
      </c>
      <c r="J153" s="271"/>
    </row>
    <row r="154" spans="1:10" x14ac:dyDescent="0.3">
      <c r="A154" s="271"/>
      <c r="B154" s="161"/>
      <c r="C154" s="161"/>
      <c r="D154" s="14">
        <v>14</v>
      </c>
      <c r="E154" s="4" t="s">
        <v>86</v>
      </c>
      <c r="F154" s="14" t="s">
        <v>190</v>
      </c>
      <c r="G154" s="5" t="s">
        <v>330</v>
      </c>
      <c r="H154" s="5" t="s">
        <v>112</v>
      </c>
      <c r="I154" s="14" t="s">
        <v>37</v>
      </c>
      <c r="J154" s="271"/>
    </row>
    <row r="155" spans="1:10" x14ac:dyDescent="0.3">
      <c r="A155" s="271"/>
      <c r="B155" s="161"/>
      <c r="C155" s="161"/>
      <c r="D155" s="14">
        <v>15</v>
      </c>
      <c r="E155" s="4" t="s">
        <v>87</v>
      </c>
      <c r="F155" s="14">
        <v>8691047788</v>
      </c>
      <c r="G155" s="5" t="s">
        <v>330</v>
      </c>
      <c r="H155" s="5" t="s">
        <v>115</v>
      </c>
      <c r="I155" s="14" t="s">
        <v>37</v>
      </c>
      <c r="J155" s="271"/>
    </row>
    <row r="156" spans="1:10" x14ac:dyDescent="0.3">
      <c r="A156" s="271"/>
      <c r="B156" s="161"/>
      <c r="C156" s="161"/>
      <c r="D156" s="14">
        <v>16</v>
      </c>
      <c r="E156" s="4" t="s">
        <v>89</v>
      </c>
      <c r="F156" s="14" t="s">
        <v>178</v>
      </c>
      <c r="G156" s="5" t="s">
        <v>326</v>
      </c>
      <c r="H156" s="5" t="s">
        <v>109</v>
      </c>
      <c r="I156" s="14" t="s">
        <v>37</v>
      </c>
      <c r="J156" s="271"/>
    </row>
    <row r="157" spans="1:10" x14ac:dyDescent="0.3">
      <c r="A157" s="271"/>
      <c r="B157" s="161"/>
      <c r="C157" s="161"/>
      <c r="D157" s="14">
        <v>17</v>
      </c>
      <c r="E157" s="4" t="s">
        <v>90</v>
      </c>
      <c r="F157" s="19" t="s">
        <v>43</v>
      </c>
      <c r="G157" s="5" t="s">
        <v>124</v>
      </c>
      <c r="H157" s="5" t="s">
        <v>116</v>
      </c>
      <c r="I157" s="14" t="s">
        <v>65</v>
      </c>
      <c r="J157" s="271"/>
    </row>
    <row r="159" spans="1:10" x14ac:dyDescent="0.3">
      <c r="A159" s="271" t="s">
        <v>191</v>
      </c>
      <c r="B159" s="161" t="s">
        <v>782</v>
      </c>
      <c r="C159" s="161" t="s">
        <v>70</v>
      </c>
      <c r="D159" s="14">
        <v>1</v>
      </c>
      <c r="E159" s="4" t="s">
        <v>75</v>
      </c>
      <c r="F159" s="14" t="s">
        <v>153</v>
      </c>
      <c r="G159" s="5" t="s">
        <v>326</v>
      </c>
      <c r="H159" s="5" t="s">
        <v>104</v>
      </c>
      <c r="I159" s="14" t="s">
        <v>37</v>
      </c>
      <c r="J159" s="271" t="s">
        <v>182</v>
      </c>
    </row>
    <row r="160" spans="1:10" x14ac:dyDescent="0.3">
      <c r="A160" s="271"/>
      <c r="B160" s="161"/>
      <c r="C160" s="161"/>
      <c r="D160" s="14">
        <v>2</v>
      </c>
      <c r="E160" s="4" t="s">
        <v>76</v>
      </c>
      <c r="F160" s="14" t="str">
        <f>F159</f>
        <v>Donald Easter</v>
      </c>
      <c r="G160" s="5" t="s">
        <v>326</v>
      </c>
      <c r="H160" s="5" t="s">
        <v>105</v>
      </c>
      <c r="I160" s="14" t="s">
        <v>37</v>
      </c>
      <c r="J160" s="271"/>
    </row>
    <row r="161" spans="1:10" x14ac:dyDescent="0.3">
      <c r="A161" s="271"/>
      <c r="B161" s="161"/>
      <c r="C161" s="161"/>
      <c r="D161" s="14">
        <v>3</v>
      </c>
      <c r="E161" s="4" t="s">
        <v>77</v>
      </c>
      <c r="F161" s="14" t="s">
        <v>180</v>
      </c>
      <c r="G161" s="5" t="s">
        <v>327</v>
      </c>
      <c r="H161" s="5" t="s">
        <v>107</v>
      </c>
      <c r="I161" s="14" t="s">
        <v>37</v>
      </c>
      <c r="J161" s="271"/>
    </row>
    <row r="162" spans="1:10" x14ac:dyDescent="0.3">
      <c r="A162" s="271"/>
      <c r="B162" s="161"/>
      <c r="C162" s="161"/>
      <c r="D162" s="14">
        <v>4</v>
      </c>
      <c r="E162" s="4" t="s">
        <v>78</v>
      </c>
      <c r="F162" s="14" t="s">
        <v>158</v>
      </c>
      <c r="G162" s="5" t="s">
        <v>326</v>
      </c>
      <c r="H162" s="5" t="s">
        <v>108</v>
      </c>
      <c r="I162" s="14" t="s">
        <v>37</v>
      </c>
      <c r="J162" s="271"/>
    </row>
    <row r="163" spans="1:10" x14ac:dyDescent="0.3">
      <c r="A163" s="271"/>
      <c r="B163" s="161"/>
      <c r="C163" s="161"/>
      <c r="D163" s="14">
        <v>5</v>
      </c>
      <c r="E163" s="4" t="s">
        <v>79</v>
      </c>
      <c r="F163" s="14" t="s">
        <v>94</v>
      </c>
      <c r="G163" s="5" t="s">
        <v>326</v>
      </c>
      <c r="H163" s="5" t="s">
        <v>105</v>
      </c>
      <c r="I163" s="14" t="s">
        <v>37</v>
      </c>
      <c r="J163" s="271"/>
    </row>
    <row r="164" spans="1:10" x14ac:dyDescent="0.3">
      <c r="A164" s="271"/>
      <c r="B164" s="161"/>
      <c r="C164" s="161"/>
      <c r="D164" s="14">
        <v>6</v>
      </c>
      <c r="E164" s="4" t="s">
        <v>80</v>
      </c>
      <c r="F164" s="14" t="s">
        <v>95</v>
      </c>
      <c r="G164" s="5" t="s">
        <v>328</v>
      </c>
      <c r="H164" s="5" t="s">
        <v>110</v>
      </c>
      <c r="I164" s="14" t="s">
        <v>37</v>
      </c>
      <c r="J164" s="271"/>
    </row>
    <row r="165" spans="1:10" x14ac:dyDescent="0.25">
      <c r="A165" s="271"/>
      <c r="B165" s="161"/>
      <c r="C165" s="161"/>
      <c r="D165" s="14">
        <v>7</v>
      </c>
      <c r="E165" s="4" t="s">
        <v>81</v>
      </c>
      <c r="F165" s="33" t="s">
        <v>167</v>
      </c>
      <c r="G165" s="5" t="s">
        <v>326</v>
      </c>
      <c r="H165" s="5" t="s">
        <v>106</v>
      </c>
      <c r="I165" s="14" t="s">
        <v>37</v>
      </c>
      <c r="J165" s="271"/>
    </row>
    <row r="166" spans="1:10" x14ac:dyDescent="0.3">
      <c r="A166" s="271"/>
      <c r="B166" s="161"/>
      <c r="C166" s="161"/>
      <c r="D166" s="14">
        <v>8</v>
      </c>
      <c r="E166" s="4" t="s">
        <v>82</v>
      </c>
      <c r="F166" s="14">
        <v>3</v>
      </c>
      <c r="G166" s="5" t="s">
        <v>329</v>
      </c>
      <c r="H166" s="5" t="s">
        <v>111</v>
      </c>
      <c r="I166" s="14" t="s">
        <v>37</v>
      </c>
      <c r="J166" s="271"/>
    </row>
    <row r="167" spans="1:10" x14ac:dyDescent="0.3">
      <c r="A167" s="271"/>
      <c r="B167" s="161"/>
      <c r="C167" s="161"/>
      <c r="D167" s="14">
        <v>9</v>
      </c>
      <c r="E167" s="4" t="s">
        <v>83</v>
      </c>
      <c r="F167" s="19" t="s">
        <v>43</v>
      </c>
      <c r="G167" s="34" t="s">
        <v>102</v>
      </c>
      <c r="H167" s="5" t="s">
        <v>113</v>
      </c>
      <c r="I167" s="14" t="s">
        <v>37</v>
      </c>
      <c r="J167" s="271"/>
    </row>
    <row r="168" spans="1:10" x14ac:dyDescent="0.3">
      <c r="A168" s="271"/>
      <c r="B168" s="161"/>
      <c r="C168" s="161"/>
      <c r="D168" s="14">
        <v>10</v>
      </c>
      <c r="E168" s="4" t="s">
        <v>193</v>
      </c>
      <c r="F168" s="19" t="s">
        <v>194</v>
      </c>
      <c r="G168" s="34" t="s">
        <v>330</v>
      </c>
      <c r="H168" s="5" t="s">
        <v>110</v>
      </c>
      <c r="I168" s="14" t="s">
        <v>37</v>
      </c>
      <c r="J168" s="271"/>
    </row>
    <row r="169" spans="1:10" x14ac:dyDescent="0.3">
      <c r="A169" s="271"/>
      <c r="B169" s="161"/>
      <c r="C169" s="161"/>
      <c r="D169" s="14">
        <v>11</v>
      </c>
      <c r="E169" s="4" t="s">
        <v>195</v>
      </c>
      <c r="F169" s="19" t="s">
        <v>43</v>
      </c>
      <c r="G169" s="34" t="s">
        <v>331</v>
      </c>
      <c r="H169" s="5" t="s">
        <v>196</v>
      </c>
      <c r="I169" s="14" t="s">
        <v>65</v>
      </c>
      <c r="J169" s="271"/>
    </row>
    <row r="170" spans="1:10" x14ac:dyDescent="0.3">
      <c r="A170" s="271"/>
      <c r="B170" s="161"/>
      <c r="C170" s="161"/>
      <c r="D170" s="14">
        <v>12</v>
      </c>
      <c r="E170" s="4" t="s">
        <v>88</v>
      </c>
      <c r="F170" s="14" t="s">
        <v>175</v>
      </c>
      <c r="G170" s="5" t="s">
        <v>326</v>
      </c>
      <c r="H170" s="5" t="s">
        <v>105</v>
      </c>
      <c r="I170" s="14" t="s">
        <v>37</v>
      </c>
      <c r="J170" s="271"/>
    </row>
    <row r="171" spans="1:10" x14ac:dyDescent="0.3">
      <c r="A171" s="271"/>
      <c r="B171" s="161"/>
      <c r="C171" s="161"/>
      <c r="D171" s="14">
        <v>13</v>
      </c>
      <c r="E171" s="4" t="s">
        <v>84</v>
      </c>
      <c r="F171" s="35">
        <v>46032</v>
      </c>
      <c r="G171" s="5" t="s">
        <v>328</v>
      </c>
      <c r="H171" s="5" t="s">
        <v>110</v>
      </c>
      <c r="I171" s="14" t="s">
        <v>37</v>
      </c>
      <c r="J171" s="271"/>
    </row>
    <row r="172" spans="1:10" x14ac:dyDescent="0.3">
      <c r="A172" s="271"/>
      <c r="B172" s="161"/>
      <c r="C172" s="161"/>
      <c r="D172" s="14">
        <v>14</v>
      </c>
      <c r="E172" s="4" t="s">
        <v>85</v>
      </c>
      <c r="F172" s="14" t="str">
        <f>IF(F159="Donald Easter","Donal Easter LLC",IF(F159="Aspire Intl  ","Aspire International",IF(F159="Money Maker EUR","MoneyMaker Ltd",IF(F159="TanishQ Entrp","TanishQ Enterpresis","NA"))))</f>
        <v>Donal Easter LLC</v>
      </c>
      <c r="G172" s="5" t="s">
        <v>330</v>
      </c>
      <c r="H172" s="5" t="s">
        <v>114</v>
      </c>
      <c r="I172" s="14" t="s">
        <v>37</v>
      </c>
      <c r="J172" s="271"/>
    </row>
    <row r="173" spans="1:10" x14ac:dyDescent="0.3">
      <c r="A173" s="271"/>
      <c r="B173" s="161"/>
      <c r="C173" s="161"/>
      <c r="D173" s="14">
        <v>15</v>
      </c>
      <c r="E173" s="4" t="s">
        <v>86</v>
      </c>
      <c r="F173" s="14" t="s">
        <v>192</v>
      </c>
      <c r="G173" s="5" t="s">
        <v>330</v>
      </c>
      <c r="H173" s="5" t="s">
        <v>112</v>
      </c>
      <c r="I173" s="14" t="s">
        <v>37</v>
      </c>
      <c r="J173" s="271"/>
    </row>
    <row r="174" spans="1:10" x14ac:dyDescent="0.3">
      <c r="A174" s="271"/>
      <c r="B174" s="161"/>
      <c r="C174" s="161"/>
      <c r="D174" s="14">
        <v>16</v>
      </c>
      <c r="E174" s="4" t="s">
        <v>87</v>
      </c>
      <c r="F174" s="14">
        <v>8691047788</v>
      </c>
      <c r="G174" s="5" t="s">
        <v>330</v>
      </c>
      <c r="H174" s="5" t="s">
        <v>115</v>
      </c>
      <c r="I174" s="14" t="s">
        <v>37</v>
      </c>
      <c r="J174" s="271"/>
    </row>
    <row r="175" spans="1:10" x14ac:dyDescent="0.3">
      <c r="A175" s="271"/>
      <c r="B175" s="161"/>
      <c r="C175" s="161"/>
      <c r="D175" s="14">
        <v>17</v>
      </c>
      <c r="E175" s="4" t="s">
        <v>89</v>
      </c>
      <c r="F175" s="14" t="s">
        <v>177</v>
      </c>
      <c r="G175" s="5" t="s">
        <v>326</v>
      </c>
      <c r="H175" s="5" t="s">
        <v>109</v>
      </c>
      <c r="I175" s="14" t="s">
        <v>37</v>
      </c>
      <c r="J175" s="271"/>
    </row>
    <row r="176" spans="1:10" x14ac:dyDescent="0.3">
      <c r="A176" s="271"/>
      <c r="B176" s="161"/>
      <c r="C176" s="161"/>
      <c r="D176" s="14">
        <v>18</v>
      </c>
      <c r="E176" s="4" t="s">
        <v>90</v>
      </c>
      <c r="F176" s="19" t="s">
        <v>43</v>
      </c>
      <c r="G176" s="5" t="s">
        <v>124</v>
      </c>
      <c r="H176" s="5" t="s">
        <v>116</v>
      </c>
      <c r="I176" s="14" t="s">
        <v>65</v>
      </c>
      <c r="J176" s="271"/>
    </row>
    <row r="178" spans="1:10" x14ac:dyDescent="0.3">
      <c r="A178" s="271" t="s">
        <v>199</v>
      </c>
      <c r="B178" s="161" t="s">
        <v>783</v>
      </c>
      <c r="C178" s="161" t="s">
        <v>70</v>
      </c>
      <c r="D178" s="14">
        <v>1</v>
      </c>
      <c r="E178" s="4" t="s">
        <v>75</v>
      </c>
      <c r="F178" s="14" t="s">
        <v>249</v>
      </c>
      <c r="G178" s="5" t="s">
        <v>326</v>
      </c>
      <c r="H178" s="5" t="s">
        <v>104</v>
      </c>
      <c r="I178" s="14" t="s">
        <v>37</v>
      </c>
      <c r="J178" s="271" t="s">
        <v>182</v>
      </c>
    </row>
    <row r="179" spans="1:10" x14ac:dyDescent="0.3">
      <c r="A179" s="271"/>
      <c r="B179" s="161"/>
      <c r="C179" s="161"/>
      <c r="D179" s="14">
        <v>2</v>
      </c>
      <c r="E179" s="4" t="s">
        <v>76</v>
      </c>
      <c r="F179" s="14" t="str">
        <f>F178</f>
        <v xml:space="preserve">Aspire Intl  </v>
      </c>
      <c r="G179" s="5" t="s">
        <v>326</v>
      </c>
      <c r="H179" s="5" t="s">
        <v>105</v>
      </c>
      <c r="I179" s="14" t="s">
        <v>37</v>
      </c>
      <c r="J179" s="271"/>
    </row>
    <row r="180" spans="1:10" x14ac:dyDescent="0.3">
      <c r="A180" s="271"/>
      <c r="B180" s="161"/>
      <c r="C180" s="161"/>
      <c r="D180" s="14">
        <v>3</v>
      </c>
      <c r="E180" s="4" t="s">
        <v>77</v>
      </c>
      <c r="F180" s="14" t="s">
        <v>180</v>
      </c>
      <c r="G180" s="5" t="s">
        <v>327</v>
      </c>
      <c r="H180" s="5" t="s">
        <v>107</v>
      </c>
      <c r="I180" s="14" t="s">
        <v>37</v>
      </c>
      <c r="J180" s="271"/>
    </row>
    <row r="181" spans="1:10" x14ac:dyDescent="0.3">
      <c r="A181" s="271"/>
      <c r="B181" s="161"/>
      <c r="C181" s="161"/>
      <c r="D181" s="14">
        <v>4</v>
      </c>
      <c r="E181" s="4" t="s">
        <v>78</v>
      </c>
      <c r="F181" s="14" t="s">
        <v>158</v>
      </c>
      <c r="G181" s="5" t="s">
        <v>326</v>
      </c>
      <c r="H181" s="5" t="s">
        <v>108</v>
      </c>
      <c r="I181" s="14" t="s">
        <v>37</v>
      </c>
      <c r="J181" s="271"/>
    </row>
    <row r="182" spans="1:10" x14ac:dyDescent="0.3">
      <c r="A182" s="271"/>
      <c r="B182" s="161"/>
      <c r="C182" s="161"/>
      <c r="D182" s="14">
        <v>5</v>
      </c>
      <c r="E182" s="4" t="s">
        <v>79</v>
      </c>
      <c r="F182" s="14" t="s">
        <v>94</v>
      </c>
      <c r="G182" s="5" t="s">
        <v>326</v>
      </c>
      <c r="H182" s="5" t="s">
        <v>105</v>
      </c>
      <c r="I182" s="14" t="s">
        <v>37</v>
      </c>
      <c r="J182" s="271"/>
    </row>
    <row r="183" spans="1:10" x14ac:dyDescent="0.3">
      <c r="A183" s="271"/>
      <c r="B183" s="161"/>
      <c r="C183" s="161"/>
      <c r="D183" s="14">
        <v>6</v>
      </c>
      <c r="E183" s="4" t="s">
        <v>201</v>
      </c>
      <c r="F183" s="14" t="s">
        <v>935</v>
      </c>
      <c r="G183" s="5" t="s">
        <v>198</v>
      </c>
      <c r="H183" s="5" t="s">
        <v>110</v>
      </c>
      <c r="I183" s="14" t="s">
        <v>65</v>
      </c>
      <c r="J183" s="271"/>
    </row>
    <row r="184" spans="1:10" x14ac:dyDescent="0.25">
      <c r="A184" s="271"/>
      <c r="B184" s="161"/>
      <c r="C184" s="161"/>
      <c r="D184" s="14">
        <v>7</v>
      </c>
      <c r="E184" s="4" t="s">
        <v>81</v>
      </c>
      <c r="F184" s="33" t="s">
        <v>167</v>
      </c>
      <c r="G184" s="5" t="s">
        <v>326</v>
      </c>
      <c r="H184" s="5" t="s">
        <v>106</v>
      </c>
      <c r="I184" s="14" t="s">
        <v>37</v>
      </c>
      <c r="J184" s="271"/>
    </row>
    <row r="185" spans="1:10" x14ac:dyDescent="0.3">
      <c r="A185" s="271"/>
      <c r="B185" s="161"/>
      <c r="C185" s="161"/>
      <c r="D185" s="14">
        <v>8</v>
      </c>
      <c r="E185" s="4" t="s">
        <v>82</v>
      </c>
      <c r="F185" s="14">
        <v>3</v>
      </c>
      <c r="G185" s="5" t="s">
        <v>329</v>
      </c>
      <c r="H185" s="5" t="s">
        <v>111</v>
      </c>
      <c r="I185" s="14" t="s">
        <v>37</v>
      </c>
      <c r="J185" s="271"/>
    </row>
    <row r="186" spans="1:10" x14ac:dyDescent="0.3">
      <c r="A186" s="271"/>
      <c r="B186" s="161"/>
      <c r="C186" s="161"/>
      <c r="D186" s="14">
        <v>9</v>
      </c>
      <c r="E186" s="4" t="s">
        <v>83</v>
      </c>
      <c r="F186" s="19" t="s">
        <v>43</v>
      </c>
      <c r="G186" s="34" t="s">
        <v>102</v>
      </c>
      <c r="H186" s="5" t="s">
        <v>113</v>
      </c>
      <c r="I186" s="14" t="s">
        <v>37</v>
      </c>
      <c r="J186" s="271"/>
    </row>
    <row r="187" spans="1:10" x14ac:dyDescent="0.3">
      <c r="A187" s="271"/>
      <c r="B187" s="161"/>
      <c r="C187" s="161"/>
      <c r="D187" s="14">
        <v>10</v>
      </c>
      <c r="E187" s="4" t="s">
        <v>193</v>
      </c>
      <c r="F187" s="19">
        <v>20</v>
      </c>
      <c r="G187" s="34" t="s">
        <v>330</v>
      </c>
      <c r="H187" s="5" t="s">
        <v>110</v>
      </c>
      <c r="I187" s="14" t="s">
        <v>37</v>
      </c>
      <c r="J187" s="271"/>
    </row>
    <row r="188" spans="1:10" x14ac:dyDescent="0.3">
      <c r="A188" s="271"/>
      <c r="B188" s="161"/>
      <c r="C188" s="161"/>
      <c r="D188" s="14">
        <v>11</v>
      </c>
      <c r="E188" s="4" t="s">
        <v>195</v>
      </c>
      <c r="F188" s="19" t="s">
        <v>43</v>
      </c>
      <c r="G188" s="34" t="s">
        <v>332</v>
      </c>
      <c r="H188" s="5" t="s">
        <v>203</v>
      </c>
      <c r="I188" s="14" t="s">
        <v>37</v>
      </c>
      <c r="J188" s="271"/>
    </row>
    <row r="189" spans="1:10" x14ac:dyDescent="0.3">
      <c r="A189" s="271"/>
      <c r="B189" s="161"/>
      <c r="C189" s="161"/>
      <c r="D189" s="14">
        <v>12</v>
      </c>
      <c r="E189" s="4" t="s">
        <v>88</v>
      </c>
      <c r="F189" s="14" t="s">
        <v>175</v>
      </c>
      <c r="G189" s="5" t="s">
        <v>326</v>
      </c>
      <c r="H189" s="5" t="s">
        <v>105</v>
      </c>
      <c r="I189" s="14" t="s">
        <v>37</v>
      </c>
      <c r="J189" s="271"/>
    </row>
    <row r="190" spans="1:10" x14ac:dyDescent="0.3">
      <c r="A190" s="271"/>
      <c r="B190" s="161"/>
      <c r="C190" s="161"/>
      <c r="D190" s="14">
        <v>13</v>
      </c>
      <c r="E190" s="4" t="s">
        <v>84</v>
      </c>
      <c r="F190" s="35">
        <v>46032</v>
      </c>
      <c r="G190" s="5" t="s">
        <v>328</v>
      </c>
      <c r="H190" s="5" t="s">
        <v>110</v>
      </c>
      <c r="I190" s="14" t="s">
        <v>37</v>
      </c>
      <c r="J190" s="271"/>
    </row>
    <row r="191" spans="1:10" x14ac:dyDescent="0.3">
      <c r="A191" s="271"/>
      <c r="B191" s="161"/>
      <c r="C191" s="161"/>
      <c r="D191" s="14">
        <v>14</v>
      </c>
      <c r="E191" s="4" t="s">
        <v>85</v>
      </c>
      <c r="F191" s="14" t="str">
        <f>IF(F178="Donald Easter","Donal Easter LLC",IF(F178="Aspire Intl  ","Aspire International",IF(F178="Money Maker EUR","MoneyMaker Ltd",IF(F178="TanishQ Entrp","TanishQ Enterpresis","NA"))))</f>
        <v>Aspire International</v>
      </c>
      <c r="G191" s="5" t="s">
        <v>330</v>
      </c>
      <c r="H191" s="5" t="s">
        <v>114</v>
      </c>
      <c r="I191" s="14" t="s">
        <v>37</v>
      </c>
      <c r="J191" s="271"/>
    </row>
    <row r="192" spans="1:10" x14ac:dyDescent="0.3">
      <c r="A192" s="271"/>
      <c r="B192" s="161"/>
      <c r="C192" s="161"/>
      <c r="D192" s="14">
        <v>15</v>
      </c>
      <c r="E192" s="4" t="s">
        <v>86</v>
      </c>
      <c r="F192" s="14" t="s">
        <v>192</v>
      </c>
      <c r="G192" s="5" t="s">
        <v>330</v>
      </c>
      <c r="H192" s="5" t="s">
        <v>112</v>
      </c>
      <c r="I192" s="14" t="s">
        <v>37</v>
      </c>
      <c r="J192" s="271"/>
    </row>
    <row r="193" spans="1:10" x14ac:dyDescent="0.3">
      <c r="A193" s="271"/>
      <c r="B193" s="161"/>
      <c r="C193" s="161"/>
      <c r="D193" s="14">
        <v>16</v>
      </c>
      <c r="E193" s="4" t="s">
        <v>87</v>
      </c>
      <c r="F193" s="14">
        <v>8691047788</v>
      </c>
      <c r="G193" s="5" t="s">
        <v>330</v>
      </c>
      <c r="H193" s="5" t="s">
        <v>115</v>
      </c>
      <c r="I193" s="14" t="s">
        <v>37</v>
      </c>
      <c r="J193" s="271"/>
    </row>
    <row r="194" spans="1:10" x14ac:dyDescent="0.3">
      <c r="A194" s="271"/>
      <c r="B194" s="161"/>
      <c r="C194" s="161"/>
      <c r="D194" s="14">
        <v>17</v>
      </c>
      <c r="E194" s="4" t="s">
        <v>89</v>
      </c>
      <c r="F194" s="14" t="s">
        <v>177</v>
      </c>
      <c r="G194" s="5" t="s">
        <v>326</v>
      </c>
      <c r="H194" s="5" t="s">
        <v>109</v>
      </c>
      <c r="I194" s="14" t="s">
        <v>37</v>
      </c>
      <c r="J194" s="271"/>
    </row>
    <row r="195" spans="1:10" x14ac:dyDescent="0.3">
      <c r="A195" s="271"/>
      <c r="B195" s="161"/>
      <c r="C195" s="161"/>
      <c r="D195" s="14">
        <v>18</v>
      </c>
      <c r="E195" s="4" t="s">
        <v>90</v>
      </c>
      <c r="F195" s="19" t="s">
        <v>43</v>
      </c>
      <c r="G195" s="5" t="s">
        <v>124</v>
      </c>
      <c r="H195" s="5" t="s">
        <v>116</v>
      </c>
      <c r="I195" s="14" t="s">
        <v>65</v>
      </c>
      <c r="J195" s="271"/>
    </row>
    <row r="197" spans="1:10" x14ac:dyDescent="0.3">
      <c r="A197" s="271" t="s">
        <v>200</v>
      </c>
      <c r="B197" s="161" t="s">
        <v>784</v>
      </c>
      <c r="C197" s="161" t="s">
        <v>70</v>
      </c>
      <c r="D197" s="14">
        <v>1</v>
      </c>
      <c r="E197" s="4" t="s">
        <v>75</v>
      </c>
      <c r="F197" s="14" t="s">
        <v>128</v>
      </c>
      <c r="G197" s="5" t="s">
        <v>326</v>
      </c>
      <c r="H197" s="5" t="s">
        <v>104</v>
      </c>
      <c r="I197" s="14" t="s">
        <v>37</v>
      </c>
      <c r="J197" s="271" t="s">
        <v>37</v>
      </c>
    </row>
    <row r="198" spans="1:10" x14ac:dyDescent="0.3">
      <c r="A198" s="271"/>
      <c r="B198" s="161"/>
      <c r="C198" s="161"/>
      <c r="D198" s="14">
        <v>2</v>
      </c>
      <c r="E198" s="4" t="s">
        <v>76</v>
      </c>
      <c r="F198" s="14" t="str">
        <f>F197</f>
        <v>Money Maker EUR</v>
      </c>
      <c r="G198" s="5" t="s">
        <v>326</v>
      </c>
      <c r="H198" s="5" t="s">
        <v>105</v>
      </c>
      <c r="I198" s="14" t="s">
        <v>37</v>
      </c>
      <c r="J198" s="271"/>
    </row>
    <row r="199" spans="1:10" x14ac:dyDescent="0.3">
      <c r="A199" s="271"/>
      <c r="B199" s="161"/>
      <c r="C199" s="161"/>
      <c r="D199" s="14">
        <v>3</v>
      </c>
      <c r="E199" s="4" t="s">
        <v>77</v>
      </c>
      <c r="F199" s="14" t="s">
        <v>180</v>
      </c>
      <c r="G199" s="5" t="s">
        <v>327</v>
      </c>
      <c r="H199" s="5" t="s">
        <v>107</v>
      </c>
      <c r="I199" s="14" t="s">
        <v>37</v>
      </c>
      <c r="J199" s="271"/>
    </row>
    <row r="200" spans="1:10" x14ac:dyDescent="0.3">
      <c r="A200" s="271"/>
      <c r="B200" s="161"/>
      <c r="C200" s="161"/>
      <c r="D200" s="14">
        <v>4</v>
      </c>
      <c r="E200" s="4" t="s">
        <v>78</v>
      </c>
      <c r="F200" s="14" t="s">
        <v>158</v>
      </c>
      <c r="G200" s="5" t="s">
        <v>326</v>
      </c>
      <c r="H200" s="5" t="s">
        <v>108</v>
      </c>
      <c r="I200" s="14" t="s">
        <v>37</v>
      </c>
      <c r="J200" s="271"/>
    </row>
    <row r="201" spans="1:10" x14ac:dyDescent="0.3">
      <c r="A201" s="271"/>
      <c r="B201" s="161"/>
      <c r="C201" s="161"/>
      <c r="D201" s="14">
        <v>5</v>
      </c>
      <c r="E201" s="4" t="s">
        <v>79</v>
      </c>
      <c r="F201" s="14" t="s">
        <v>94</v>
      </c>
      <c r="G201" s="5" t="s">
        <v>326</v>
      </c>
      <c r="H201" s="5" t="s">
        <v>105</v>
      </c>
      <c r="I201" s="14" t="s">
        <v>37</v>
      </c>
      <c r="J201" s="271"/>
    </row>
    <row r="202" spans="1:10" x14ac:dyDescent="0.3">
      <c r="A202" s="271"/>
      <c r="B202" s="161"/>
      <c r="C202" s="161"/>
      <c r="D202" s="14">
        <v>6</v>
      </c>
      <c r="E202" s="4" t="s">
        <v>80</v>
      </c>
      <c r="F202" s="14" t="s">
        <v>95</v>
      </c>
      <c r="G202" s="5" t="s">
        <v>330</v>
      </c>
      <c r="H202" s="5" t="s">
        <v>110</v>
      </c>
      <c r="I202" s="14" t="s">
        <v>37</v>
      </c>
      <c r="J202" s="271"/>
    </row>
    <row r="203" spans="1:10" x14ac:dyDescent="0.25">
      <c r="A203" s="271"/>
      <c r="B203" s="161"/>
      <c r="C203" s="161"/>
      <c r="D203" s="14">
        <v>7</v>
      </c>
      <c r="E203" s="4" t="s">
        <v>81</v>
      </c>
      <c r="F203" s="33" t="s">
        <v>166</v>
      </c>
      <c r="G203" s="5" t="s">
        <v>326</v>
      </c>
      <c r="H203" s="5" t="s">
        <v>106</v>
      </c>
      <c r="I203" s="14" t="s">
        <v>37</v>
      </c>
      <c r="J203" s="271"/>
    </row>
    <row r="204" spans="1:10" x14ac:dyDescent="0.3">
      <c r="A204" s="271"/>
      <c r="B204" s="161"/>
      <c r="C204" s="161"/>
      <c r="D204" s="14">
        <v>8</v>
      </c>
      <c r="E204" s="4" t="s">
        <v>82</v>
      </c>
      <c r="F204" s="14">
        <v>20</v>
      </c>
      <c r="G204" s="5" t="s">
        <v>329</v>
      </c>
      <c r="H204" s="5" t="s">
        <v>111</v>
      </c>
      <c r="I204" s="14" t="s">
        <v>37</v>
      </c>
      <c r="J204" s="271"/>
    </row>
    <row r="205" spans="1:10" x14ac:dyDescent="0.3">
      <c r="A205" s="271"/>
      <c r="B205" s="161"/>
      <c r="C205" s="161"/>
      <c r="D205" s="14">
        <v>9</v>
      </c>
      <c r="E205" s="4" t="s">
        <v>83</v>
      </c>
      <c r="F205" s="19" t="s">
        <v>43</v>
      </c>
      <c r="G205" s="34" t="s">
        <v>102</v>
      </c>
      <c r="H205" s="5" t="s">
        <v>113</v>
      </c>
      <c r="I205" s="14" t="s">
        <v>37</v>
      </c>
      <c r="J205" s="271"/>
    </row>
    <row r="206" spans="1:10" x14ac:dyDescent="0.3">
      <c r="A206" s="271"/>
      <c r="B206" s="161"/>
      <c r="C206" s="161"/>
      <c r="D206" s="14">
        <v>10</v>
      </c>
      <c r="E206" s="4" t="s">
        <v>193</v>
      </c>
      <c r="F206" s="19">
        <v>20</v>
      </c>
      <c r="G206" s="34" t="s">
        <v>330</v>
      </c>
      <c r="H206" s="5" t="s">
        <v>110</v>
      </c>
      <c r="I206" s="14" t="s">
        <v>37</v>
      </c>
      <c r="J206" s="271"/>
    </row>
    <row r="207" spans="1:10" x14ac:dyDescent="0.3">
      <c r="A207" s="271"/>
      <c r="B207" s="161"/>
      <c r="C207" s="161"/>
      <c r="D207" s="14">
        <v>11</v>
      </c>
      <c r="E207" s="4" t="s">
        <v>195</v>
      </c>
      <c r="F207" s="19" t="s">
        <v>43</v>
      </c>
      <c r="G207" s="34" t="s">
        <v>332</v>
      </c>
      <c r="H207" s="5" t="s">
        <v>202</v>
      </c>
      <c r="I207" s="14" t="s">
        <v>37</v>
      </c>
      <c r="J207" s="271"/>
    </row>
    <row r="208" spans="1:10" x14ac:dyDescent="0.3">
      <c r="A208" s="271"/>
      <c r="B208" s="161"/>
      <c r="C208" s="161"/>
      <c r="D208" s="14">
        <v>12</v>
      </c>
      <c r="E208" s="4" t="s">
        <v>88</v>
      </c>
      <c r="F208" s="14" t="s">
        <v>174</v>
      </c>
      <c r="G208" s="5" t="s">
        <v>326</v>
      </c>
      <c r="H208" s="5" t="s">
        <v>105</v>
      </c>
      <c r="I208" s="14" t="s">
        <v>37</v>
      </c>
      <c r="J208" s="271"/>
    </row>
    <row r="209" spans="1:10" x14ac:dyDescent="0.3">
      <c r="A209" s="271"/>
      <c r="B209" s="161"/>
      <c r="C209" s="161"/>
      <c r="D209" s="14">
        <v>13</v>
      </c>
      <c r="E209" s="4" t="s">
        <v>84</v>
      </c>
      <c r="F209" s="35">
        <v>46032</v>
      </c>
      <c r="G209" s="5" t="s">
        <v>328</v>
      </c>
      <c r="H209" s="5" t="s">
        <v>110</v>
      </c>
      <c r="I209" s="14" t="s">
        <v>37</v>
      </c>
      <c r="J209" s="271"/>
    </row>
    <row r="210" spans="1:10" x14ac:dyDescent="0.3">
      <c r="A210" s="271"/>
      <c r="B210" s="161"/>
      <c r="C210" s="161"/>
      <c r="D210" s="14">
        <v>14</v>
      </c>
      <c r="E210" s="4" t="s">
        <v>85</v>
      </c>
      <c r="F210" s="14" t="str">
        <f>IF(F197="Donald Easter","Donal Easter LLC",IF(F197="Aspire Intl  ","Aspire International",IF(F197="Money Maker EUR","MoneyMaker Ltd",IF(F197="TanishQ Entrp","TanishQ Enterpresis","NA"))))</f>
        <v>MoneyMaker Ltd</v>
      </c>
      <c r="G210" s="5" t="s">
        <v>330</v>
      </c>
      <c r="H210" s="5" t="s">
        <v>114</v>
      </c>
      <c r="I210" s="14" t="s">
        <v>37</v>
      </c>
      <c r="J210" s="271"/>
    </row>
    <row r="211" spans="1:10" x14ac:dyDescent="0.3">
      <c r="A211" s="271"/>
      <c r="B211" s="161"/>
      <c r="C211" s="161"/>
      <c r="D211" s="14">
        <v>15</v>
      </c>
      <c r="E211" s="4" t="s">
        <v>86</v>
      </c>
      <c r="F211" s="14" t="s">
        <v>205</v>
      </c>
      <c r="G211" s="5" t="s">
        <v>330</v>
      </c>
      <c r="H211" s="5" t="s">
        <v>112</v>
      </c>
      <c r="I211" s="14" t="s">
        <v>37</v>
      </c>
      <c r="J211" s="271"/>
    </row>
    <row r="212" spans="1:10" x14ac:dyDescent="0.3">
      <c r="A212" s="271"/>
      <c r="B212" s="161"/>
      <c r="C212" s="161"/>
      <c r="D212" s="14">
        <v>16</v>
      </c>
      <c r="E212" s="4" t="s">
        <v>87</v>
      </c>
      <c r="F212" s="14">
        <v>8691047788</v>
      </c>
      <c r="G212" s="5" t="s">
        <v>330</v>
      </c>
      <c r="H212" s="5" t="s">
        <v>115</v>
      </c>
      <c r="I212" s="14" t="s">
        <v>37</v>
      </c>
      <c r="J212" s="271"/>
    </row>
    <row r="213" spans="1:10" x14ac:dyDescent="0.3">
      <c r="A213" s="271"/>
      <c r="B213" s="161"/>
      <c r="C213" s="161"/>
      <c r="D213" s="14">
        <v>17</v>
      </c>
      <c r="E213" s="4" t="s">
        <v>89</v>
      </c>
      <c r="F213" s="14" t="s">
        <v>121</v>
      </c>
      <c r="G213" s="5" t="s">
        <v>326</v>
      </c>
      <c r="H213" s="5" t="s">
        <v>109</v>
      </c>
      <c r="I213" s="14" t="s">
        <v>37</v>
      </c>
      <c r="J213" s="271"/>
    </row>
    <row r="214" spans="1:10" x14ac:dyDescent="0.3">
      <c r="A214" s="271"/>
      <c r="B214" s="161"/>
      <c r="C214" s="161"/>
      <c r="D214" s="14">
        <v>18</v>
      </c>
      <c r="E214" s="4" t="s">
        <v>90</v>
      </c>
      <c r="F214" s="19" t="s">
        <v>43</v>
      </c>
      <c r="G214" s="5" t="s">
        <v>204</v>
      </c>
      <c r="H214" s="5" t="s">
        <v>116</v>
      </c>
      <c r="I214" s="14" t="s">
        <v>37</v>
      </c>
      <c r="J214" s="271"/>
    </row>
    <row r="216" spans="1:10" x14ac:dyDescent="0.3">
      <c r="A216" s="271" t="s">
        <v>206</v>
      </c>
      <c r="B216" s="161" t="s">
        <v>785</v>
      </c>
      <c r="C216" s="161" t="s">
        <v>70</v>
      </c>
      <c r="D216" s="14">
        <v>1</v>
      </c>
      <c r="E216" s="4" t="s">
        <v>75</v>
      </c>
      <c r="F216" s="14" t="s">
        <v>153</v>
      </c>
      <c r="G216" s="5" t="s">
        <v>326</v>
      </c>
      <c r="H216" s="5" t="s">
        <v>104</v>
      </c>
      <c r="I216" s="14" t="s">
        <v>37</v>
      </c>
      <c r="J216" s="271" t="s">
        <v>37</v>
      </c>
    </row>
    <row r="217" spans="1:10" x14ac:dyDescent="0.3">
      <c r="A217" s="271"/>
      <c r="B217" s="161"/>
      <c r="C217" s="161"/>
      <c r="D217" s="14">
        <v>2</v>
      </c>
      <c r="E217" s="4" t="s">
        <v>76</v>
      </c>
      <c r="F217" s="14" t="str">
        <f>F216</f>
        <v>Donald Easter</v>
      </c>
      <c r="G217" s="5" t="s">
        <v>326</v>
      </c>
      <c r="H217" s="5" t="s">
        <v>105</v>
      </c>
      <c r="I217" s="14" t="s">
        <v>37</v>
      </c>
      <c r="J217" s="271"/>
    </row>
    <row r="218" spans="1:10" x14ac:dyDescent="0.3">
      <c r="A218" s="271"/>
      <c r="B218" s="161"/>
      <c r="C218" s="161"/>
      <c r="D218" s="14">
        <v>3</v>
      </c>
      <c r="E218" s="4" t="s">
        <v>77</v>
      </c>
      <c r="F218" s="14" t="s">
        <v>180</v>
      </c>
      <c r="G218" s="5" t="s">
        <v>327</v>
      </c>
      <c r="H218" s="5" t="s">
        <v>107</v>
      </c>
      <c r="I218" s="14" t="s">
        <v>37</v>
      </c>
      <c r="J218" s="271"/>
    </row>
    <row r="219" spans="1:10" x14ac:dyDescent="0.3">
      <c r="A219" s="271"/>
      <c r="B219" s="161"/>
      <c r="C219" s="161"/>
      <c r="D219" s="14">
        <v>4</v>
      </c>
      <c r="E219" s="4" t="s">
        <v>78</v>
      </c>
      <c r="F219" s="14" t="s">
        <v>156</v>
      </c>
      <c r="G219" s="5" t="s">
        <v>326</v>
      </c>
      <c r="H219" s="5" t="s">
        <v>108</v>
      </c>
      <c r="I219" s="14" t="s">
        <v>37</v>
      </c>
      <c r="J219" s="271"/>
    </row>
    <row r="220" spans="1:10" x14ac:dyDescent="0.3">
      <c r="A220" s="271"/>
      <c r="B220" s="161"/>
      <c r="C220" s="161"/>
      <c r="D220" s="14">
        <v>5</v>
      </c>
      <c r="E220" s="4" t="s">
        <v>79</v>
      </c>
      <c r="F220" s="14" t="s">
        <v>94</v>
      </c>
      <c r="G220" s="5" t="s">
        <v>326</v>
      </c>
      <c r="H220" s="5" t="s">
        <v>105</v>
      </c>
      <c r="I220" s="14" t="s">
        <v>37</v>
      </c>
      <c r="J220" s="271"/>
    </row>
    <row r="221" spans="1:10" x14ac:dyDescent="0.3">
      <c r="A221" s="271"/>
      <c r="B221" s="161"/>
      <c r="C221" s="161"/>
      <c r="D221" s="14">
        <v>6</v>
      </c>
      <c r="E221" s="4" t="s">
        <v>80</v>
      </c>
      <c r="F221" s="14" t="s">
        <v>95</v>
      </c>
      <c r="G221" s="5" t="s">
        <v>330</v>
      </c>
      <c r="H221" s="5" t="s">
        <v>110</v>
      </c>
      <c r="I221" s="14" t="s">
        <v>37</v>
      </c>
      <c r="J221" s="271"/>
    </row>
    <row r="222" spans="1:10" x14ac:dyDescent="0.25">
      <c r="A222" s="271"/>
      <c r="B222" s="161"/>
      <c r="C222" s="161"/>
      <c r="D222" s="14">
        <v>7</v>
      </c>
      <c r="E222" s="4" t="s">
        <v>81</v>
      </c>
      <c r="F222" s="33" t="s">
        <v>164</v>
      </c>
      <c r="G222" s="5" t="s">
        <v>326</v>
      </c>
      <c r="H222" s="5" t="s">
        <v>106</v>
      </c>
      <c r="I222" s="14" t="s">
        <v>37</v>
      </c>
      <c r="J222" s="271"/>
    </row>
    <row r="223" spans="1:10" x14ac:dyDescent="0.3">
      <c r="A223" s="271"/>
      <c r="B223" s="161"/>
      <c r="C223" s="161"/>
      <c r="D223" s="14">
        <v>8</v>
      </c>
      <c r="E223" s="4" t="s">
        <v>82</v>
      </c>
      <c r="F223" s="14">
        <v>10</v>
      </c>
      <c r="G223" s="5" t="s">
        <v>329</v>
      </c>
      <c r="H223" s="5" t="s">
        <v>111</v>
      </c>
      <c r="I223" s="14" t="s">
        <v>37</v>
      </c>
      <c r="J223" s="271"/>
    </row>
    <row r="224" spans="1:10" x14ac:dyDescent="0.3">
      <c r="A224" s="271"/>
      <c r="B224" s="161"/>
      <c r="C224" s="161"/>
      <c r="D224" s="14">
        <v>9</v>
      </c>
      <c r="E224" s="4" t="s">
        <v>83</v>
      </c>
      <c r="F224" s="19" t="s">
        <v>43</v>
      </c>
      <c r="G224" s="34" t="s">
        <v>102</v>
      </c>
      <c r="H224" s="5" t="s">
        <v>113</v>
      </c>
      <c r="I224" s="14" t="s">
        <v>37</v>
      </c>
      <c r="J224" s="271"/>
    </row>
    <row r="225" spans="1:10" x14ac:dyDescent="0.3">
      <c r="A225" s="271"/>
      <c r="B225" s="161"/>
      <c r="C225" s="161"/>
      <c r="D225" s="14">
        <v>10</v>
      </c>
      <c r="E225" s="4" t="s">
        <v>193</v>
      </c>
      <c r="F225" s="19">
        <v>500</v>
      </c>
      <c r="G225" s="34" t="s">
        <v>330</v>
      </c>
      <c r="H225" s="5" t="s">
        <v>110</v>
      </c>
      <c r="I225" s="14" t="s">
        <v>37</v>
      </c>
      <c r="J225" s="271"/>
    </row>
    <row r="226" spans="1:10" x14ac:dyDescent="0.3">
      <c r="A226" s="271"/>
      <c r="B226" s="161"/>
      <c r="C226" s="161"/>
      <c r="D226" s="14">
        <v>11</v>
      </c>
      <c r="E226" s="4" t="s">
        <v>195</v>
      </c>
      <c r="F226" s="19" t="s">
        <v>43</v>
      </c>
      <c r="G226" s="34" t="s">
        <v>332</v>
      </c>
      <c r="H226" s="5" t="s">
        <v>202</v>
      </c>
      <c r="I226" s="14" t="s">
        <v>37</v>
      </c>
      <c r="J226" s="271"/>
    </row>
    <row r="227" spans="1:10" x14ac:dyDescent="0.3">
      <c r="A227" s="271"/>
      <c r="B227" s="161"/>
      <c r="C227" s="161"/>
      <c r="D227" s="14">
        <v>12</v>
      </c>
      <c r="E227" s="4" t="s">
        <v>88</v>
      </c>
      <c r="F227" s="14" t="s">
        <v>172</v>
      </c>
      <c r="G227" s="5" t="s">
        <v>326</v>
      </c>
      <c r="H227" s="5" t="s">
        <v>105</v>
      </c>
      <c r="I227" s="14" t="s">
        <v>37</v>
      </c>
      <c r="J227" s="271"/>
    </row>
    <row r="228" spans="1:10" x14ac:dyDescent="0.3">
      <c r="A228" s="271"/>
      <c r="B228" s="161"/>
      <c r="C228" s="161"/>
      <c r="D228" s="14">
        <v>13</v>
      </c>
      <c r="E228" s="4" t="s">
        <v>84</v>
      </c>
      <c r="F228" s="35">
        <v>46032</v>
      </c>
      <c r="G228" s="5" t="s">
        <v>328</v>
      </c>
      <c r="H228" s="5" t="s">
        <v>110</v>
      </c>
      <c r="I228" s="14" t="s">
        <v>37</v>
      </c>
      <c r="J228" s="271"/>
    </row>
    <row r="229" spans="1:10" x14ac:dyDescent="0.3">
      <c r="A229" s="271"/>
      <c r="B229" s="161"/>
      <c r="C229" s="161"/>
      <c r="D229" s="14">
        <v>14</v>
      </c>
      <c r="E229" s="4" t="s">
        <v>85</v>
      </c>
      <c r="F229" s="14" t="str">
        <f>IF(F216="Donald Easter","Donal Easter LLC",IF(F216="Aspire Intl  ","Aspire International",IF(F216="Money Maker EUR","MoneyMaker Ltd",IF(F216="TanishQ Entrp","TanishQ Enterpresis","NA"))))</f>
        <v>Donal Easter LLC</v>
      </c>
      <c r="G229" s="5" t="s">
        <v>330</v>
      </c>
      <c r="H229" s="5" t="s">
        <v>114</v>
      </c>
      <c r="I229" s="14" t="s">
        <v>37</v>
      </c>
      <c r="J229" s="271"/>
    </row>
    <row r="230" spans="1:10" x14ac:dyDescent="0.3">
      <c r="A230" s="271"/>
      <c r="B230" s="161"/>
      <c r="C230" s="161"/>
      <c r="D230" s="14">
        <v>15</v>
      </c>
      <c r="E230" s="4" t="s">
        <v>86</v>
      </c>
      <c r="F230" s="14" t="s">
        <v>207</v>
      </c>
      <c r="G230" s="5" t="s">
        <v>330</v>
      </c>
      <c r="H230" s="5" t="s">
        <v>112</v>
      </c>
      <c r="I230" s="14" t="s">
        <v>37</v>
      </c>
      <c r="J230" s="271"/>
    </row>
    <row r="231" spans="1:10" x14ac:dyDescent="0.3">
      <c r="A231" s="271"/>
      <c r="B231" s="161"/>
      <c r="C231" s="161"/>
      <c r="D231" s="14">
        <v>16</v>
      </c>
      <c r="E231" s="4" t="s">
        <v>87</v>
      </c>
      <c r="F231" s="14">
        <v>8691047788</v>
      </c>
      <c r="G231" s="5" t="s">
        <v>330</v>
      </c>
      <c r="H231" s="5" t="s">
        <v>115</v>
      </c>
      <c r="I231" s="14" t="s">
        <v>37</v>
      </c>
      <c r="J231" s="271"/>
    </row>
    <row r="232" spans="1:10" x14ac:dyDescent="0.3">
      <c r="A232" s="271"/>
      <c r="B232" s="161"/>
      <c r="C232" s="161"/>
      <c r="D232" s="14">
        <v>17</v>
      </c>
      <c r="E232" s="4" t="s">
        <v>89</v>
      </c>
      <c r="F232" s="14" t="s">
        <v>100</v>
      </c>
      <c r="G232" s="5" t="s">
        <v>326</v>
      </c>
      <c r="H232" s="5" t="s">
        <v>109</v>
      </c>
      <c r="I232" s="14" t="s">
        <v>37</v>
      </c>
      <c r="J232" s="271"/>
    </row>
    <row r="233" spans="1:10" x14ac:dyDescent="0.3">
      <c r="A233" s="271"/>
      <c r="B233" s="161"/>
      <c r="C233" s="161"/>
      <c r="D233" s="14">
        <v>18</v>
      </c>
      <c r="E233" s="4" t="s">
        <v>90</v>
      </c>
      <c r="F233" s="19" t="s">
        <v>43</v>
      </c>
      <c r="G233" s="5" t="s">
        <v>204</v>
      </c>
      <c r="H233" s="5" t="s">
        <v>116</v>
      </c>
      <c r="I233" s="14" t="s">
        <v>37</v>
      </c>
      <c r="J233" s="271"/>
    </row>
    <row r="235" spans="1:10" x14ac:dyDescent="0.3">
      <c r="A235" s="271" t="s">
        <v>208</v>
      </c>
      <c r="B235" s="161" t="s">
        <v>786</v>
      </c>
      <c r="C235" s="161" t="s">
        <v>70</v>
      </c>
      <c r="D235" s="14">
        <v>1</v>
      </c>
      <c r="E235" s="4" t="s">
        <v>75</v>
      </c>
      <c r="F235" s="14" t="s">
        <v>249</v>
      </c>
      <c r="G235" s="5" t="s">
        <v>326</v>
      </c>
      <c r="H235" s="5" t="s">
        <v>104</v>
      </c>
      <c r="I235" s="14" t="s">
        <v>37</v>
      </c>
      <c r="J235" s="271" t="s">
        <v>37</v>
      </c>
    </row>
    <row r="236" spans="1:10" x14ac:dyDescent="0.3">
      <c r="A236" s="271"/>
      <c r="B236" s="161"/>
      <c r="C236" s="161"/>
      <c r="D236" s="14">
        <v>2</v>
      </c>
      <c r="E236" s="4" t="s">
        <v>76</v>
      </c>
      <c r="F236" s="14" t="str">
        <f>F235</f>
        <v xml:space="preserve">Aspire Intl  </v>
      </c>
      <c r="G236" s="5" t="s">
        <v>326</v>
      </c>
      <c r="H236" s="5" t="s">
        <v>105</v>
      </c>
      <c r="I236" s="14" t="s">
        <v>37</v>
      </c>
      <c r="J236" s="271"/>
    </row>
    <row r="237" spans="1:10" x14ac:dyDescent="0.3">
      <c r="A237" s="271"/>
      <c r="B237" s="161"/>
      <c r="C237" s="161"/>
      <c r="D237" s="14">
        <v>3</v>
      </c>
      <c r="E237" s="4" t="s">
        <v>77</v>
      </c>
      <c r="F237" s="14" t="s">
        <v>180</v>
      </c>
      <c r="G237" s="5" t="s">
        <v>327</v>
      </c>
      <c r="H237" s="5" t="s">
        <v>107</v>
      </c>
      <c r="I237" s="14" t="s">
        <v>37</v>
      </c>
      <c r="J237" s="271"/>
    </row>
    <row r="238" spans="1:10" x14ac:dyDescent="0.3">
      <c r="A238" s="271"/>
      <c r="B238" s="161"/>
      <c r="C238" s="161"/>
      <c r="D238" s="14">
        <v>4</v>
      </c>
      <c r="E238" s="4" t="s">
        <v>78</v>
      </c>
      <c r="F238" s="14" t="s">
        <v>157</v>
      </c>
      <c r="G238" s="5" t="s">
        <v>326</v>
      </c>
      <c r="H238" s="5" t="s">
        <v>108</v>
      </c>
      <c r="I238" s="14" t="s">
        <v>37</v>
      </c>
      <c r="J238" s="271"/>
    </row>
    <row r="239" spans="1:10" x14ac:dyDescent="0.3">
      <c r="A239" s="271"/>
      <c r="B239" s="161"/>
      <c r="C239" s="161"/>
      <c r="D239" s="14">
        <v>5</v>
      </c>
      <c r="E239" s="4" t="s">
        <v>79</v>
      </c>
      <c r="F239" s="14" t="s">
        <v>94</v>
      </c>
      <c r="G239" s="5" t="s">
        <v>326</v>
      </c>
      <c r="H239" s="5" t="s">
        <v>105</v>
      </c>
      <c r="I239" s="14" t="s">
        <v>37</v>
      </c>
      <c r="J239" s="271"/>
    </row>
    <row r="240" spans="1:10" x14ac:dyDescent="0.3">
      <c r="A240" s="271"/>
      <c r="B240" s="161"/>
      <c r="C240" s="161"/>
      <c r="D240" s="14">
        <v>6</v>
      </c>
      <c r="E240" s="4" t="s">
        <v>80</v>
      </c>
      <c r="F240" s="14" t="s">
        <v>95</v>
      </c>
      <c r="G240" s="5" t="s">
        <v>330</v>
      </c>
      <c r="H240" s="5" t="s">
        <v>110</v>
      </c>
      <c r="I240" s="14" t="s">
        <v>37</v>
      </c>
      <c r="J240" s="271"/>
    </row>
    <row r="241" spans="1:10" x14ac:dyDescent="0.25">
      <c r="A241" s="271"/>
      <c r="B241" s="161"/>
      <c r="C241" s="161"/>
      <c r="D241" s="14">
        <v>7</v>
      </c>
      <c r="E241" s="4" t="s">
        <v>81</v>
      </c>
      <c r="F241" s="33" t="s">
        <v>165</v>
      </c>
      <c r="G241" s="5" t="s">
        <v>326</v>
      </c>
      <c r="H241" s="5" t="s">
        <v>106</v>
      </c>
      <c r="I241" s="14" t="s">
        <v>37</v>
      </c>
      <c r="J241" s="271"/>
    </row>
    <row r="242" spans="1:10" x14ac:dyDescent="0.3">
      <c r="A242" s="271"/>
      <c r="B242" s="161"/>
      <c r="C242" s="161"/>
      <c r="D242" s="14">
        <v>8</v>
      </c>
      <c r="E242" s="4" t="s">
        <v>82</v>
      </c>
      <c r="F242" s="14">
        <v>50</v>
      </c>
      <c r="G242" s="5" t="s">
        <v>329</v>
      </c>
      <c r="H242" s="5" t="s">
        <v>111</v>
      </c>
      <c r="I242" s="14" t="s">
        <v>37</v>
      </c>
      <c r="J242" s="271"/>
    </row>
    <row r="243" spans="1:10" x14ac:dyDescent="0.3">
      <c r="A243" s="271"/>
      <c r="B243" s="161"/>
      <c r="C243" s="161"/>
      <c r="D243" s="14">
        <v>9</v>
      </c>
      <c r="E243" s="4" t="s">
        <v>83</v>
      </c>
      <c r="F243" s="19" t="s">
        <v>43</v>
      </c>
      <c r="G243" s="34" t="s">
        <v>102</v>
      </c>
      <c r="H243" s="5" t="s">
        <v>113</v>
      </c>
      <c r="I243" s="14" t="s">
        <v>37</v>
      </c>
      <c r="J243" s="271"/>
    </row>
    <row r="244" spans="1:10" x14ac:dyDescent="0.3">
      <c r="A244" s="271"/>
      <c r="B244" s="161"/>
      <c r="C244" s="161"/>
      <c r="D244" s="14">
        <v>10</v>
      </c>
      <c r="E244" s="4" t="s">
        <v>193</v>
      </c>
      <c r="F244" s="19">
        <v>5098</v>
      </c>
      <c r="G244" s="34" t="s">
        <v>330</v>
      </c>
      <c r="H244" s="5" t="s">
        <v>110</v>
      </c>
      <c r="I244" s="14" t="s">
        <v>37</v>
      </c>
      <c r="J244" s="271"/>
    </row>
    <row r="245" spans="1:10" x14ac:dyDescent="0.3">
      <c r="A245" s="271"/>
      <c r="B245" s="161"/>
      <c r="C245" s="161"/>
      <c r="D245" s="14">
        <v>11</v>
      </c>
      <c r="E245" s="4" t="s">
        <v>195</v>
      </c>
      <c r="F245" s="19" t="s">
        <v>43</v>
      </c>
      <c r="G245" s="34" t="s">
        <v>332</v>
      </c>
      <c r="H245" s="5" t="s">
        <v>202</v>
      </c>
      <c r="I245" s="14" t="s">
        <v>37</v>
      </c>
      <c r="J245" s="271"/>
    </row>
    <row r="246" spans="1:10" x14ac:dyDescent="0.3">
      <c r="A246" s="271"/>
      <c r="B246" s="161"/>
      <c r="C246" s="161"/>
      <c r="D246" s="14">
        <v>12</v>
      </c>
      <c r="E246" s="4" t="s">
        <v>88</v>
      </c>
      <c r="F246" s="14" t="s">
        <v>172</v>
      </c>
      <c r="G246" s="5" t="s">
        <v>326</v>
      </c>
      <c r="H246" s="5" t="s">
        <v>105</v>
      </c>
      <c r="I246" s="14" t="s">
        <v>37</v>
      </c>
      <c r="J246" s="271"/>
    </row>
    <row r="247" spans="1:10" x14ac:dyDescent="0.3">
      <c r="A247" s="271"/>
      <c r="B247" s="161"/>
      <c r="C247" s="161"/>
      <c r="D247" s="14">
        <v>13</v>
      </c>
      <c r="E247" s="4" t="s">
        <v>84</v>
      </c>
      <c r="F247" s="35">
        <v>46032</v>
      </c>
      <c r="G247" s="5" t="s">
        <v>328</v>
      </c>
      <c r="H247" s="5" t="s">
        <v>110</v>
      </c>
      <c r="I247" s="14" t="s">
        <v>37</v>
      </c>
      <c r="J247" s="271"/>
    </row>
    <row r="248" spans="1:10" x14ac:dyDescent="0.3">
      <c r="A248" s="271"/>
      <c r="B248" s="161"/>
      <c r="C248" s="161"/>
      <c r="D248" s="14">
        <v>14</v>
      </c>
      <c r="E248" s="4" t="s">
        <v>85</v>
      </c>
      <c r="F248" s="14" t="str">
        <f>IF(F235="Donald Easter","Donal Easter LLC",IF(F235="Aspire Intl  ","Aspire International",IF(F235="Money Maker EUR","MoneyMaker Ltd",IF(F235="TanishQ Entrp","TanishQ Enterpresis","NA"))))</f>
        <v>Aspire International</v>
      </c>
      <c r="G248" s="5" t="s">
        <v>330</v>
      </c>
      <c r="H248" s="5" t="s">
        <v>114</v>
      </c>
      <c r="I248" s="14" t="s">
        <v>37</v>
      </c>
      <c r="J248" s="271"/>
    </row>
    <row r="249" spans="1:10" x14ac:dyDescent="0.3">
      <c r="A249" s="271"/>
      <c r="B249" s="161"/>
      <c r="C249" s="161"/>
      <c r="D249" s="14">
        <v>15</v>
      </c>
      <c r="E249" s="4" t="s">
        <v>86</v>
      </c>
      <c r="F249" s="14" t="s">
        <v>209</v>
      </c>
      <c r="G249" s="5" t="s">
        <v>330</v>
      </c>
      <c r="H249" s="5" t="s">
        <v>112</v>
      </c>
      <c r="I249" s="14" t="s">
        <v>37</v>
      </c>
      <c r="J249" s="271"/>
    </row>
    <row r="250" spans="1:10" x14ac:dyDescent="0.3">
      <c r="A250" s="271"/>
      <c r="B250" s="161"/>
      <c r="C250" s="161"/>
      <c r="D250" s="14">
        <v>16</v>
      </c>
      <c r="E250" s="4" t="s">
        <v>87</v>
      </c>
      <c r="F250" s="14">
        <v>8691047788</v>
      </c>
      <c r="G250" s="5" t="s">
        <v>330</v>
      </c>
      <c r="H250" s="5" t="s">
        <v>115</v>
      </c>
      <c r="I250" s="14" t="s">
        <v>37</v>
      </c>
      <c r="J250" s="271"/>
    </row>
    <row r="251" spans="1:10" x14ac:dyDescent="0.3">
      <c r="A251" s="271"/>
      <c r="B251" s="161"/>
      <c r="C251" s="161"/>
      <c r="D251" s="14">
        <v>17</v>
      </c>
      <c r="E251" s="4" t="s">
        <v>89</v>
      </c>
      <c r="F251" s="14" t="s">
        <v>97</v>
      </c>
      <c r="G251" s="5" t="s">
        <v>326</v>
      </c>
      <c r="H251" s="5" t="s">
        <v>109</v>
      </c>
      <c r="I251" s="14" t="s">
        <v>37</v>
      </c>
      <c r="J251" s="271"/>
    </row>
    <row r="252" spans="1:10" x14ac:dyDescent="0.3">
      <c r="A252" s="271"/>
      <c r="B252" s="161"/>
      <c r="C252" s="161"/>
      <c r="D252" s="14">
        <v>18</v>
      </c>
      <c r="E252" s="4" t="s">
        <v>90</v>
      </c>
      <c r="F252" s="19" t="s">
        <v>43</v>
      </c>
      <c r="G252" s="5" t="s">
        <v>204</v>
      </c>
      <c r="H252" s="5" t="s">
        <v>116</v>
      </c>
      <c r="I252" s="14" t="s">
        <v>37</v>
      </c>
      <c r="J252" s="271"/>
    </row>
    <row r="254" spans="1:10" x14ac:dyDescent="0.3">
      <c r="A254" s="271" t="s">
        <v>210</v>
      </c>
      <c r="B254" s="161" t="s">
        <v>787</v>
      </c>
      <c r="C254" s="161" t="s">
        <v>70</v>
      </c>
      <c r="D254" s="14">
        <v>1</v>
      </c>
      <c r="E254" s="4" t="s">
        <v>75</v>
      </c>
      <c r="F254" s="14" t="s">
        <v>139</v>
      </c>
      <c r="G254" s="5" t="s">
        <v>326</v>
      </c>
      <c r="H254" s="5" t="s">
        <v>104</v>
      </c>
      <c r="I254" s="14" t="s">
        <v>37</v>
      </c>
      <c r="J254" s="271" t="s">
        <v>37</v>
      </c>
    </row>
    <row r="255" spans="1:10" x14ac:dyDescent="0.3">
      <c r="A255" s="271"/>
      <c r="B255" s="161"/>
      <c r="C255" s="161"/>
      <c r="D255" s="14">
        <v>2</v>
      </c>
      <c r="E255" s="4" t="s">
        <v>76</v>
      </c>
      <c r="F255" s="14" t="str">
        <f>F254</f>
        <v>TanishQ Entrp</v>
      </c>
      <c r="G255" s="5" t="s">
        <v>326</v>
      </c>
      <c r="H255" s="5" t="s">
        <v>105</v>
      </c>
      <c r="I255" s="14" t="s">
        <v>37</v>
      </c>
      <c r="J255" s="271"/>
    </row>
    <row r="256" spans="1:10" x14ac:dyDescent="0.3">
      <c r="A256" s="271"/>
      <c r="B256" s="161"/>
      <c r="C256" s="161"/>
      <c r="D256" s="14">
        <v>3</v>
      </c>
      <c r="E256" s="4" t="s">
        <v>77</v>
      </c>
      <c r="F256" s="14" t="s">
        <v>180</v>
      </c>
      <c r="G256" s="5" t="s">
        <v>327</v>
      </c>
      <c r="H256" s="5" t="s">
        <v>107</v>
      </c>
      <c r="I256" s="14" t="s">
        <v>37</v>
      </c>
      <c r="J256" s="271"/>
    </row>
    <row r="257" spans="1:10" x14ac:dyDescent="0.3">
      <c r="A257" s="271"/>
      <c r="B257" s="161"/>
      <c r="C257" s="161"/>
      <c r="D257" s="14">
        <v>4</v>
      </c>
      <c r="E257" s="4" t="s">
        <v>78</v>
      </c>
      <c r="F257" s="14" t="s">
        <v>160</v>
      </c>
      <c r="G257" s="5" t="s">
        <v>326</v>
      </c>
      <c r="H257" s="5" t="s">
        <v>108</v>
      </c>
      <c r="I257" s="14" t="s">
        <v>37</v>
      </c>
      <c r="J257" s="271"/>
    </row>
    <row r="258" spans="1:10" x14ac:dyDescent="0.3">
      <c r="A258" s="271"/>
      <c r="B258" s="161"/>
      <c r="C258" s="161"/>
      <c r="D258" s="14">
        <v>5</v>
      </c>
      <c r="E258" s="4" t="s">
        <v>79</v>
      </c>
      <c r="F258" s="14" t="s">
        <v>94</v>
      </c>
      <c r="G258" s="5" t="s">
        <v>326</v>
      </c>
      <c r="H258" s="5" t="s">
        <v>105</v>
      </c>
      <c r="I258" s="14" t="s">
        <v>37</v>
      </c>
      <c r="J258" s="271"/>
    </row>
    <row r="259" spans="1:10" x14ac:dyDescent="0.3">
      <c r="A259" s="271"/>
      <c r="B259" s="161"/>
      <c r="C259" s="161"/>
      <c r="D259" s="14">
        <v>6</v>
      </c>
      <c r="E259" s="4" t="s">
        <v>80</v>
      </c>
      <c r="F259" s="14" t="s">
        <v>95</v>
      </c>
      <c r="G259" s="5" t="s">
        <v>330</v>
      </c>
      <c r="H259" s="5" t="s">
        <v>110</v>
      </c>
      <c r="I259" s="14" t="s">
        <v>37</v>
      </c>
      <c r="J259" s="271"/>
    </row>
    <row r="260" spans="1:10" x14ac:dyDescent="0.25">
      <c r="A260" s="271"/>
      <c r="B260" s="161"/>
      <c r="C260" s="161"/>
      <c r="D260" s="14">
        <v>7</v>
      </c>
      <c r="E260" s="4" t="s">
        <v>81</v>
      </c>
      <c r="F260" s="33" t="s">
        <v>169</v>
      </c>
      <c r="G260" s="5" t="s">
        <v>326</v>
      </c>
      <c r="H260" s="5" t="s">
        <v>106</v>
      </c>
      <c r="I260" s="14" t="s">
        <v>37</v>
      </c>
      <c r="J260" s="271"/>
    </row>
    <row r="261" spans="1:10" x14ac:dyDescent="0.3">
      <c r="A261" s="271"/>
      <c r="B261" s="161"/>
      <c r="C261" s="161"/>
      <c r="D261" s="14">
        <v>8</v>
      </c>
      <c r="E261" s="4" t="s">
        <v>82</v>
      </c>
      <c r="F261" s="14">
        <v>9</v>
      </c>
      <c r="G261" s="5" t="s">
        <v>329</v>
      </c>
      <c r="H261" s="5" t="s">
        <v>111</v>
      </c>
      <c r="I261" s="14" t="s">
        <v>37</v>
      </c>
      <c r="J261" s="271"/>
    </row>
    <row r="262" spans="1:10" x14ac:dyDescent="0.3">
      <c r="A262" s="271"/>
      <c r="B262" s="161"/>
      <c r="C262" s="161"/>
      <c r="D262" s="14">
        <v>9</v>
      </c>
      <c r="E262" s="4" t="s">
        <v>83</v>
      </c>
      <c r="F262" s="19" t="s">
        <v>43</v>
      </c>
      <c r="G262" s="34" t="s">
        <v>102</v>
      </c>
      <c r="H262" s="5" t="s">
        <v>113</v>
      </c>
      <c r="I262" s="14" t="s">
        <v>37</v>
      </c>
      <c r="J262" s="271"/>
    </row>
    <row r="263" spans="1:10" x14ac:dyDescent="0.3">
      <c r="A263" s="271"/>
      <c r="B263" s="161"/>
      <c r="C263" s="161"/>
      <c r="D263" s="14">
        <v>10</v>
      </c>
      <c r="E263" s="4" t="s">
        <v>193</v>
      </c>
      <c r="F263" s="19">
        <v>0</v>
      </c>
      <c r="G263" s="34" t="s">
        <v>330</v>
      </c>
      <c r="H263" s="5" t="s">
        <v>110</v>
      </c>
      <c r="I263" s="14" t="s">
        <v>37</v>
      </c>
      <c r="J263" s="271"/>
    </row>
    <row r="264" spans="1:10" x14ac:dyDescent="0.3">
      <c r="A264" s="271"/>
      <c r="B264" s="161"/>
      <c r="C264" s="161"/>
      <c r="D264" s="14">
        <v>11</v>
      </c>
      <c r="E264" s="4" t="s">
        <v>195</v>
      </c>
      <c r="F264" s="19" t="s">
        <v>43</v>
      </c>
      <c r="G264" s="34" t="s">
        <v>332</v>
      </c>
      <c r="H264" s="5" t="s">
        <v>202</v>
      </c>
      <c r="I264" s="14" t="s">
        <v>37</v>
      </c>
      <c r="J264" s="271"/>
    </row>
    <row r="265" spans="1:10" x14ac:dyDescent="0.3">
      <c r="A265" s="271"/>
      <c r="B265" s="161"/>
      <c r="C265" s="161"/>
      <c r="D265" s="14">
        <v>12</v>
      </c>
      <c r="E265" s="4" t="s">
        <v>88</v>
      </c>
      <c r="F265" s="14" t="s">
        <v>173</v>
      </c>
      <c r="G265" s="5" t="s">
        <v>326</v>
      </c>
      <c r="H265" s="5" t="s">
        <v>105</v>
      </c>
      <c r="I265" s="14" t="s">
        <v>37</v>
      </c>
      <c r="J265" s="271"/>
    </row>
    <row r="266" spans="1:10" x14ac:dyDescent="0.3">
      <c r="A266" s="271"/>
      <c r="B266" s="161"/>
      <c r="C266" s="161"/>
      <c r="D266" s="14">
        <v>13</v>
      </c>
      <c r="E266" s="4" t="s">
        <v>84</v>
      </c>
      <c r="F266" s="35">
        <v>46032</v>
      </c>
      <c r="G266" s="5" t="s">
        <v>328</v>
      </c>
      <c r="H266" s="5" t="s">
        <v>110</v>
      </c>
      <c r="I266" s="14" t="s">
        <v>37</v>
      </c>
      <c r="J266" s="271"/>
    </row>
    <row r="267" spans="1:10" x14ac:dyDescent="0.3">
      <c r="A267" s="271"/>
      <c r="B267" s="161"/>
      <c r="C267" s="161"/>
      <c r="D267" s="14">
        <v>14</v>
      </c>
      <c r="E267" s="4" t="s">
        <v>85</v>
      </c>
      <c r="F267" s="14" t="str">
        <f>IF(F254="Donald Easter","Donal Easter LLC",IF(F254="Aspire Intl  ","Aspire International",IF(F254="Money Maker EUR","MoneyMaker Ltd",IF(F254="TanishQ Entrp","TanishQ Enterpresis","NA"))))</f>
        <v>TanishQ Enterpresis</v>
      </c>
      <c r="G267" s="5" t="s">
        <v>330</v>
      </c>
      <c r="H267" s="5" t="s">
        <v>114</v>
      </c>
      <c r="I267" s="14" t="s">
        <v>37</v>
      </c>
      <c r="J267" s="271"/>
    </row>
    <row r="268" spans="1:10" x14ac:dyDescent="0.3">
      <c r="A268" s="271"/>
      <c r="B268" s="161"/>
      <c r="C268" s="161"/>
      <c r="D268" s="14">
        <v>15</v>
      </c>
      <c r="E268" s="4" t="s">
        <v>86</v>
      </c>
      <c r="F268" s="14" t="s">
        <v>211</v>
      </c>
      <c r="G268" s="5" t="s">
        <v>330</v>
      </c>
      <c r="H268" s="5" t="s">
        <v>112</v>
      </c>
      <c r="I268" s="14" t="s">
        <v>37</v>
      </c>
      <c r="J268" s="271"/>
    </row>
    <row r="269" spans="1:10" x14ac:dyDescent="0.3">
      <c r="A269" s="271"/>
      <c r="B269" s="161"/>
      <c r="C269" s="161"/>
      <c r="D269" s="14">
        <v>16</v>
      </c>
      <c r="E269" s="4" t="s">
        <v>87</v>
      </c>
      <c r="F269" s="14">
        <v>8691047788</v>
      </c>
      <c r="G269" s="5" t="s">
        <v>330</v>
      </c>
      <c r="H269" s="5" t="s">
        <v>115</v>
      </c>
      <c r="I269" s="14" t="s">
        <v>37</v>
      </c>
      <c r="J269" s="271"/>
    </row>
    <row r="270" spans="1:10" x14ac:dyDescent="0.3">
      <c r="A270" s="271"/>
      <c r="B270" s="161"/>
      <c r="C270" s="161"/>
      <c r="D270" s="14">
        <v>17</v>
      </c>
      <c r="E270" s="4" t="s">
        <v>89</v>
      </c>
      <c r="F270" s="14" t="s">
        <v>177</v>
      </c>
      <c r="G270" s="5" t="s">
        <v>326</v>
      </c>
      <c r="H270" s="5" t="s">
        <v>109</v>
      </c>
      <c r="I270" s="14" t="s">
        <v>37</v>
      </c>
      <c r="J270" s="271"/>
    </row>
    <row r="271" spans="1:10" x14ac:dyDescent="0.3">
      <c r="A271" s="271"/>
      <c r="B271" s="161"/>
      <c r="C271" s="161"/>
      <c r="D271" s="14">
        <v>18</v>
      </c>
      <c r="E271" s="4" t="s">
        <v>90</v>
      </c>
      <c r="F271" s="19" t="s">
        <v>43</v>
      </c>
      <c r="G271" s="5" t="s">
        <v>204</v>
      </c>
      <c r="H271" s="5" t="s">
        <v>116</v>
      </c>
      <c r="I271" s="14" t="s">
        <v>37</v>
      </c>
      <c r="J271" s="271"/>
    </row>
    <row r="273" spans="1:10" x14ac:dyDescent="0.3">
      <c r="A273" s="271" t="s">
        <v>212</v>
      </c>
      <c r="B273" s="161" t="s">
        <v>788</v>
      </c>
      <c r="C273" s="161" t="s">
        <v>70</v>
      </c>
      <c r="D273" s="14">
        <v>1</v>
      </c>
      <c r="E273" s="4" t="s">
        <v>75</v>
      </c>
      <c r="F273" s="14" t="s">
        <v>139</v>
      </c>
      <c r="G273" s="5" t="s">
        <v>326</v>
      </c>
      <c r="H273" s="5" t="s">
        <v>104</v>
      </c>
      <c r="I273" s="14" t="s">
        <v>37</v>
      </c>
      <c r="J273" s="271" t="s">
        <v>37</v>
      </c>
    </row>
    <row r="274" spans="1:10" x14ac:dyDescent="0.3">
      <c r="A274" s="271"/>
      <c r="B274" s="161"/>
      <c r="C274" s="161"/>
      <c r="D274" s="14">
        <v>2</v>
      </c>
      <c r="E274" s="4" t="s">
        <v>76</v>
      </c>
      <c r="F274" s="14" t="str">
        <f>F273</f>
        <v>TanishQ Entrp</v>
      </c>
      <c r="G274" s="5" t="s">
        <v>326</v>
      </c>
      <c r="H274" s="5" t="s">
        <v>105</v>
      </c>
      <c r="I274" s="14" t="s">
        <v>37</v>
      </c>
      <c r="J274" s="271"/>
    </row>
    <row r="275" spans="1:10" x14ac:dyDescent="0.3">
      <c r="A275" s="271"/>
      <c r="B275" s="161"/>
      <c r="C275" s="161"/>
      <c r="D275" s="14">
        <v>3</v>
      </c>
      <c r="E275" s="4" t="s">
        <v>77</v>
      </c>
      <c r="F275" s="14" t="s">
        <v>180</v>
      </c>
      <c r="G275" s="5" t="s">
        <v>327</v>
      </c>
      <c r="H275" s="5" t="s">
        <v>107</v>
      </c>
      <c r="I275" s="14" t="s">
        <v>37</v>
      </c>
      <c r="J275" s="271"/>
    </row>
    <row r="276" spans="1:10" x14ac:dyDescent="0.3">
      <c r="A276" s="271"/>
      <c r="B276" s="161"/>
      <c r="C276" s="161"/>
      <c r="D276" s="14">
        <v>4</v>
      </c>
      <c r="E276" s="4" t="s">
        <v>78</v>
      </c>
      <c r="F276" s="14" t="s">
        <v>159</v>
      </c>
      <c r="G276" s="5" t="s">
        <v>326</v>
      </c>
      <c r="H276" s="5" t="s">
        <v>108</v>
      </c>
      <c r="I276" s="14" t="s">
        <v>37</v>
      </c>
      <c r="J276" s="271"/>
    </row>
    <row r="277" spans="1:10" x14ac:dyDescent="0.3">
      <c r="A277" s="271"/>
      <c r="B277" s="161"/>
      <c r="C277" s="161"/>
      <c r="D277" s="14">
        <v>5</v>
      </c>
      <c r="E277" s="4" t="s">
        <v>79</v>
      </c>
      <c r="F277" s="14" t="s">
        <v>94</v>
      </c>
      <c r="G277" s="5" t="s">
        <v>326</v>
      </c>
      <c r="H277" s="5" t="s">
        <v>105</v>
      </c>
      <c r="I277" s="14" t="s">
        <v>37</v>
      </c>
      <c r="J277" s="271"/>
    </row>
    <row r="278" spans="1:10" x14ac:dyDescent="0.3">
      <c r="A278" s="271"/>
      <c r="B278" s="161"/>
      <c r="C278" s="161"/>
      <c r="D278" s="14">
        <v>6</v>
      </c>
      <c r="E278" s="4" t="s">
        <v>80</v>
      </c>
      <c r="F278" s="14" t="s">
        <v>95</v>
      </c>
      <c r="G278" s="5" t="s">
        <v>330</v>
      </c>
      <c r="H278" s="5" t="s">
        <v>110</v>
      </c>
      <c r="I278" s="14" t="s">
        <v>37</v>
      </c>
      <c r="J278" s="271"/>
    </row>
    <row r="279" spans="1:10" x14ac:dyDescent="0.25">
      <c r="A279" s="271"/>
      <c r="B279" s="161"/>
      <c r="C279" s="161"/>
      <c r="D279" s="14">
        <v>7</v>
      </c>
      <c r="E279" s="4" t="s">
        <v>81</v>
      </c>
      <c r="F279" s="33" t="s">
        <v>170</v>
      </c>
      <c r="G279" s="5" t="s">
        <v>326</v>
      </c>
      <c r="H279" s="5" t="s">
        <v>106</v>
      </c>
      <c r="I279" s="14" t="s">
        <v>37</v>
      </c>
      <c r="J279" s="271"/>
    </row>
    <row r="280" spans="1:10" x14ac:dyDescent="0.3">
      <c r="A280" s="271"/>
      <c r="B280" s="161"/>
      <c r="C280" s="161"/>
      <c r="D280" s="14">
        <v>8</v>
      </c>
      <c r="E280" s="4" t="s">
        <v>82</v>
      </c>
      <c r="F280" s="14">
        <v>2</v>
      </c>
      <c r="G280" s="5" t="s">
        <v>329</v>
      </c>
      <c r="H280" s="5" t="s">
        <v>111</v>
      </c>
      <c r="I280" s="14" t="s">
        <v>37</v>
      </c>
      <c r="J280" s="271"/>
    </row>
    <row r="281" spans="1:10" x14ac:dyDescent="0.3">
      <c r="A281" s="271"/>
      <c r="B281" s="161"/>
      <c r="C281" s="161"/>
      <c r="D281" s="14">
        <v>9</v>
      </c>
      <c r="E281" s="4" t="s">
        <v>83</v>
      </c>
      <c r="F281" s="19" t="s">
        <v>43</v>
      </c>
      <c r="G281" s="34" t="s">
        <v>102</v>
      </c>
      <c r="H281" s="5" t="s">
        <v>113</v>
      </c>
      <c r="I281" s="14" t="s">
        <v>37</v>
      </c>
      <c r="J281" s="271"/>
    </row>
    <row r="282" spans="1:10" x14ac:dyDescent="0.3">
      <c r="A282" s="271"/>
      <c r="B282" s="161"/>
      <c r="C282" s="161"/>
      <c r="D282" s="14">
        <v>10</v>
      </c>
      <c r="E282" s="4" t="s">
        <v>193</v>
      </c>
      <c r="F282" s="19">
        <v>0</v>
      </c>
      <c r="G282" s="34" t="s">
        <v>330</v>
      </c>
      <c r="H282" s="5" t="s">
        <v>110</v>
      </c>
      <c r="I282" s="14" t="s">
        <v>37</v>
      </c>
      <c r="J282" s="271"/>
    </row>
    <row r="283" spans="1:10" x14ac:dyDescent="0.3">
      <c r="A283" s="271"/>
      <c r="B283" s="161"/>
      <c r="C283" s="161"/>
      <c r="D283" s="14">
        <v>11</v>
      </c>
      <c r="E283" s="4" t="s">
        <v>195</v>
      </c>
      <c r="F283" s="19" t="s">
        <v>43</v>
      </c>
      <c r="G283" s="34" t="s">
        <v>332</v>
      </c>
      <c r="H283" s="5" t="s">
        <v>202</v>
      </c>
      <c r="I283" s="14" t="s">
        <v>37</v>
      </c>
      <c r="J283" s="271"/>
    </row>
    <row r="284" spans="1:10" x14ac:dyDescent="0.3">
      <c r="A284" s="271"/>
      <c r="B284" s="161"/>
      <c r="C284" s="161"/>
      <c r="D284" s="14">
        <v>12</v>
      </c>
      <c r="E284" s="4" t="s">
        <v>88</v>
      </c>
      <c r="F284" s="14" t="s">
        <v>173</v>
      </c>
      <c r="G284" s="5" t="s">
        <v>326</v>
      </c>
      <c r="H284" s="5" t="s">
        <v>105</v>
      </c>
      <c r="I284" s="14" t="s">
        <v>37</v>
      </c>
      <c r="J284" s="271"/>
    </row>
    <row r="285" spans="1:10" x14ac:dyDescent="0.3">
      <c r="A285" s="271"/>
      <c r="B285" s="161"/>
      <c r="C285" s="161"/>
      <c r="D285" s="14">
        <v>13</v>
      </c>
      <c r="E285" s="4" t="s">
        <v>84</v>
      </c>
      <c r="F285" s="35">
        <v>46032</v>
      </c>
      <c r="G285" s="5" t="s">
        <v>328</v>
      </c>
      <c r="H285" s="5" t="s">
        <v>110</v>
      </c>
      <c r="I285" s="14" t="s">
        <v>37</v>
      </c>
      <c r="J285" s="271"/>
    </row>
    <row r="286" spans="1:10" x14ac:dyDescent="0.3">
      <c r="A286" s="271"/>
      <c r="B286" s="161"/>
      <c r="C286" s="161"/>
      <c r="D286" s="14">
        <v>14</v>
      </c>
      <c r="E286" s="4" t="s">
        <v>85</v>
      </c>
      <c r="F286" s="14" t="str">
        <f>IF(F273="Donald Easter","Donal Easter LLC",IF(F273="Aspire Intl  ","Aspire International",IF(F273="Money Maker EUR","MoneyMaker Ltd",IF(F273="TanishQ Entrp","TanishQ Enterpresis","NA"))))</f>
        <v>TanishQ Enterpresis</v>
      </c>
      <c r="G286" s="5" t="s">
        <v>330</v>
      </c>
      <c r="H286" s="5" t="s">
        <v>114</v>
      </c>
      <c r="I286" s="14" t="s">
        <v>37</v>
      </c>
      <c r="J286" s="271"/>
    </row>
    <row r="287" spans="1:10" x14ac:dyDescent="0.3">
      <c r="A287" s="271"/>
      <c r="B287" s="161"/>
      <c r="C287" s="161"/>
      <c r="D287" s="14">
        <v>15</v>
      </c>
      <c r="E287" s="4" t="s">
        <v>86</v>
      </c>
      <c r="F287" s="14" t="s">
        <v>213</v>
      </c>
      <c r="G287" s="5" t="s">
        <v>330</v>
      </c>
      <c r="H287" s="5" t="s">
        <v>112</v>
      </c>
      <c r="I287" s="14" t="s">
        <v>37</v>
      </c>
      <c r="J287" s="271"/>
    </row>
    <row r="288" spans="1:10" x14ac:dyDescent="0.3">
      <c r="A288" s="271"/>
      <c r="B288" s="161"/>
      <c r="C288" s="161"/>
      <c r="D288" s="14">
        <v>16</v>
      </c>
      <c r="E288" s="4" t="s">
        <v>87</v>
      </c>
      <c r="F288" s="14">
        <v>8691047788</v>
      </c>
      <c r="G288" s="5" t="s">
        <v>330</v>
      </c>
      <c r="H288" s="5" t="s">
        <v>115</v>
      </c>
      <c r="I288" s="14" t="s">
        <v>37</v>
      </c>
      <c r="J288" s="271"/>
    </row>
    <row r="289" spans="1:10" x14ac:dyDescent="0.3">
      <c r="A289" s="271"/>
      <c r="B289" s="161"/>
      <c r="C289" s="161"/>
      <c r="D289" s="14">
        <v>17</v>
      </c>
      <c r="E289" s="4" t="s">
        <v>89</v>
      </c>
      <c r="F289" s="14" t="s">
        <v>97</v>
      </c>
      <c r="G289" s="5" t="s">
        <v>326</v>
      </c>
      <c r="H289" s="5" t="s">
        <v>109</v>
      </c>
      <c r="I289" s="14" t="s">
        <v>37</v>
      </c>
      <c r="J289" s="271"/>
    </row>
    <row r="290" spans="1:10" x14ac:dyDescent="0.3">
      <c r="A290" s="271"/>
      <c r="B290" s="161"/>
      <c r="C290" s="161"/>
      <c r="D290" s="14">
        <v>18</v>
      </c>
      <c r="E290" s="4" t="s">
        <v>90</v>
      </c>
      <c r="F290" s="19" t="s">
        <v>43</v>
      </c>
      <c r="G290" s="5" t="s">
        <v>204</v>
      </c>
      <c r="H290" s="5" t="s">
        <v>116</v>
      </c>
      <c r="I290" s="14" t="s">
        <v>37</v>
      </c>
      <c r="J290" s="271"/>
    </row>
    <row r="292" spans="1:10" x14ac:dyDescent="0.3">
      <c r="A292" s="271" t="s">
        <v>214</v>
      </c>
      <c r="B292" s="161" t="s">
        <v>789</v>
      </c>
      <c r="C292" s="161" t="s">
        <v>70</v>
      </c>
      <c r="D292" s="14">
        <v>1</v>
      </c>
      <c r="E292" s="4" t="s">
        <v>75</v>
      </c>
      <c r="F292" s="14" t="s">
        <v>139</v>
      </c>
      <c r="G292" s="5" t="s">
        <v>326</v>
      </c>
      <c r="H292" s="5" t="s">
        <v>104</v>
      </c>
      <c r="I292" s="14" t="s">
        <v>37</v>
      </c>
      <c r="J292" s="271" t="s">
        <v>37</v>
      </c>
    </row>
    <row r="293" spans="1:10" x14ac:dyDescent="0.3">
      <c r="A293" s="271"/>
      <c r="B293" s="161"/>
      <c r="C293" s="161"/>
      <c r="D293" s="14">
        <v>2</v>
      </c>
      <c r="E293" s="4" t="s">
        <v>76</v>
      </c>
      <c r="F293" s="14" t="str">
        <f>F292</f>
        <v>TanishQ Entrp</v>
      </c>
      <c r="G293" s="5" t="s">
        <v>326</v>
      </c>
      <c r="H293" s="5" t="s">
        <v>105</v>
      </c>
      <c r="I293" s="14" t="s">
        <v>37</v>
      </c>
      <c r="J293" s="271"/>
    </row>
    <row r="294" spans="1:10" x14ac:dyDescent="0.3">
      <c r="A294" s="271"/>
      <c r="B294" s="161"/>
      <c r="C294" s="161"/>
      <c r="D294" s="14">
        <v>3</v>
      </c>
      <c r="E294" s="4" t="s">
        <v>77</v>
      </c>
      <c r="F294" s="14" t="s">
        <v>218</v>
      </c>
      <c r="G294" s="5" t="s">
        <v>327</v>
      </c>
      <c r="H294" s="5" t="s">
        <v>107</v>
      </c>
      <c r="I294" s="14" t="s">
        <v>37</v>
      </c>
      <c r="J294" s="271"/>
    </row>
    <row r="295" spans="1:10" x14ac:dyDescent="0.3">
      <c r="A295" s="271"/>
      <c r="B295" s="161"/>
      <c r="C295" s="161"/>
      <c r="D295" s="14">
        <v>4</v>
      </c>
      <c r="E295" s="4" t="s">
        <v>78</v>
      </c>
      <c r="F295" s="14" t="s">
        <v>159</v>
      </c>
      <c r="G295" s="5" t="s">
        <v>326</v>
      </c>
      <c r="H295" s="5" t="s">
        <v>108</v>
      </c>
      <c r="I295" s="14" t="s">
        <v>37</v>
      </c>
      <c r="J295" s="271"/>
    </row>
    <row r="296" spans="1:10" x14ac:dyDescent="0.3">
      <c r="A296" s="271"/>
      <c r="B296" s="161"/>
      <c r="C296" s="161"/>
      <c r="D296" s="14">
        <v>5</v>
      </c>
      <c r="E296" s="4" t="s">
        <v>79</v>
      </c>
      <c r="F296" s="14" t="s">
        <v>94</v>
      </c>
      <c r="G296" s="5" t="s">
        <v>326</v>
      </c>
      <c r="H296" s="5" t="s">
        <v>105</v>
      </c>
      <c r="I296" s="14" t="s">
        <v>37</v>
      </c>
      <c r="J296" s="271"/>
    </row>
    <row r="297" spans="1:10" x14ac:dyDescent="0.3">
      <c r="A297" s="271"/>
      <c r="B297" s="161"/>
      <c r="C297" s="161"/>
      <c r="D297" s="14">
        <v>6</v>
      </c>
      <c r="E297" s="4" t="s">
        <v>80</v>
      </c>
      <c r="F297" s="14" t="s">
        <v>95</v>
      </c>
      <c r="G297" s="5" t="s">
        <v>330</v>
      </c>
      <c r="H297" s="5" t="s">
        <v>110</v>
      </c>
      <c r="I297" s="14" t="s">
        <v>37</v>
      </c>
      <c r="J297" s="271"/>
    </row>
    <row r="298" spans="1:10" x14ac:dyDescent="0.25">
      <c r="A298" s="271"/>
      <c r="B298" s="161"/>
      <c r="C298" s="161"/>
      <c r="D298" s="14">
        <v>7</v>
      </c>
      <c r="E298" s="4" t="s">
        <v>81</v>
      </c>
      <c r="F298" s="33" t="s">
        <v>170</v>
      </c>
      <c r="G298" s="5" t="s">
        <v>326</v>
      </c>
      <c r="H298" s="5" t="s">
        <v>106</v>
      </c>
      <c r="I298" s="14" t="s">
        <v>37</v>
      </c>
      <c r="J298" s="271"/>
    </row>
    <row r="299" spans="1:10" x14ac:dyDescent="0.3">
      <c r="A299" s="271"/>
      <c r="B299" s="161"/>
      <c r="C299" s="161"/>
      <c r="D299" s="14">
        <v>8</v>
      </c>
      <c r="E299" s="4" t="s">
        <v>82</v>
      </c>
      <c r="F299" s="14">
        <v>2</v>
      </c>
      <c r="G299" s="5" t="s">
        <v>329</v>
      </c>
      <c r="H299" s="5" t="s">
        <v>111</v>
      </c>
      <c r="I299" s="14" t="s">
        <v>37</v>
      </c>
      <c r="J299" s="271"/>
    </row>
    <row r="300" spans="1:10" x14ac:dyDescent="0.3">
      <c r="A300" s="271"/>
      <c r="B300" s="161"/>
      <c r="C300" s="161"/>
      <c r="D300" s="14">
        <v>9</v>
      </c>
      <c r="E300" s="4" t="s">
        <v>83</v>
      </c>
      <c r="F300" s="19" t="s">
        <v>43</v>
      </c>
      <c r="G300" s="34" t="s">
        <v>102</v>
      </c>
      <c r="H300" s="5" t="s">
        <v>113</v>
      </c>
      <c r="I300" s="14" t="s">
        <v>37</v>
      </c>
      <c r="J300" s="271"/>
    </row>
    <row r="301" spans="1:10" x14ac:dyDescent="0.3">
      <c r="A301" s="271"/>
      <c r="B301" s="161"/>
      <c r="C301" s="161"/>
      <c r="D301" s="14">
        <v>10</v>
      </c>
      <c r="E301" s="4" t="s">
        <v>193</v>
      </c>
      <c r="F301" s="19">
        <v>0</v>
      </c>
      <c r="G301" s="34" t="s">
        <v>330</v>
      </c>
      <c r="H301" s="5" t="s">
        <v>110</v>
      </c>
      <c r="I301" s="14" t="s">
        <v>37</v>
      </c>
      <c r="J301" s="271"/>
    </row>
    <row r="302" spans="1:10" x14ac:dyDescent="0.3">
      <c r="A302" s="271"/>
      <c r="B302" s="161"/>
      <c r="C302" s="161"/>
      <c r="D302" s="14">
        <v>11</v>
      </c>
      <c r="E302" s="4" t="s">
        <v>195</v>
      </c>
      <c r="F302" s="19" t="s">
        <v>43</v>
      </c>
      <c r="G302" s="34" t="s">
        <v>332</v>
      </c>
      <c r="H302" s="5" t="s">
        <v>202</v>
      </c>
      <c r="I302" s="14" t="s">
        <v>37</v>
      </c>
      <c r="J302" s="271"/>
    </row>
    <row r="303" spans="1:10" x14ac:dyDescent="0.3">
      <c r="A303" s="271"/>
      <c r="B303" s="161"/>
      <c r="C303" s="161"/>
      <c r="D303" s="14">
        <v>12</v>
      </c>
      <c r="E303" s="4" t="s">
        <v>88</v>
      </c>
      <c r="F303" s="14" t="s">
        <v>173</v>
      </c>
      <c r="G303" s="5" t="s">
        <v>326</v>
      </c>
      <c r="H303" s="5" t="s">
        <v>105</v>
      </c>
      <c r="I303" s="14" t="s">
        <v>37</v>
      </c>
      <c r="J303" s="271"/>
    </row>
    <row r="304" spans="1:10" x14ac:dyDescent="0.3">
      <c r="A304" s="271"/>
      <c r="B304" s="161"/>
      <c r="C304" s="161"/>
      <c r="D304" s="14">
        <v>13</v>
      </c>
      <c r="E304" s="4" t="s">
        <v>84</v>
      </c>
      <c r="F304" s="35">
        <v>46032</v>
      </c>
      <c r="G304" s="5" t="s">
        <v>328</v>
      </c>
      <c r="H304" s="5" t="s">
        <v>110</v>
      </c>
      <c r="I304" s="14" t="s">
        <v>37</v>
      </c>
      <c r="J304" s="271"/>
    </row>
    <row r="305" spans="1:10" x14ac:dyDescent="0.3">
      <c r="A305" s="271"/>
      <c r="B305" s="161"/>
      <c r="C305" s="161"/>
      <c r="D305" s="14">
        <v>14</v>
      </c>
      <c r="E305" s="4" t="s">
        <v>85</v>
      </c>
      <c r="F305" s="14" t="str">
        <f>IF(F292="Donald Easter","Donal Easter LLC",IF(F292="Aspire Intl  ","Aspire International",IF(F292="Money Maker EUR","MoneyMaker Ltd",IF(F292="TanishQ Entrp","TanishQ Enterpresis","NA"))))</f>
        <v>TanishQ Enterpresis</v>
      </c>
      <c r="G305" s="5" t="s">
        <v>330</v>
      </c>
      <c r="H305" s="5" t="s">
        <v>114</v>
      </c>
      <c r="I305" s="14" t="s">
        <v>37</v>
      </c>
      <c r="J305" s="271"/>
    </row>
    <row r="306" spans="1:10" x14ac:dyDescent="0.3">
      <c r="A306" s="271"/>
      <c r="B306" s="161"/>
      <c r="C306" s="161"/>
      <c r="D306" s="14">
        <v>15</v>
      </c>
      <c r="E306" s="4" t="s">
        <v>86</v>
      </c>
      <c r="F306" s="14" t="s">
        <v>213</v>
      </c>
      <c r="G306" s="5" t="s">
        <v>330</v>
      </c>
      <c r="H306" s="5" t="s">
        <v>112</v>
      </c>
      <c r="I306" s="14" t="s">
        <v>37</v>
      </c>
      <c r="J306" s="271"/>
    </row>
    <row r="307" spans="1:10" x14ac:dyDescent="0.3">
      <c r="A307" s="271"/>
      <c r="B307" s="161"/>
      <c r="C307" s="161"/>
      <c r="D307" s="14">
        <v>16</v>
      </c>
      <c r="E307" s="4" t="s">
        <v>87</v>
      </c>
      <c r="F307" s="14">
        <v>8691047788</v>
      </c>
      <c r="G307" s="5" t="s">
        <v>330</v>
      </c>
      <c r="H307" s="5" t="s">
        <v>115</v>
      </c>
      <c r="I307" s="14" t="s">
        <v>37</v>
      </c>
      <c r="J307" s="271"/>
    </row>
    <row r="308" spans="1:10" x14ac:dyDescent="0.3">
      <c r="A308" s="271"/>
      <c r="B308" s="161"/>
      <c r="C308" s="161"/>
      <c r="D308" s="14">
        <v>17</v>
      </c>
      <c r="E308" s="4" t="s">
        <v>89</v>
      </c>
      <c r="F308" s="14" t="s">
        <v>97</v>
      </c>
      <c r="G308" s="5" t="s">
        <v>326</v>
      </c>
      <c r="H308" s="5" t="s">
        <v>109</v>
      </c>
      <c r="I308" s="14" t="s">
        <v>37</v>
      </c>
      <c r="J308" s="271"/>
    </row>
    <row r="309" spans="1:10" x14ac:dyDescent="0.3">
      <c r="A309" s="271"/>
      <c r="B309" s="161"/>
      <c r="C309" s="161"/>
      <c r="D309" s="14">
        <v>18</v>
      </c>
      <c r="E309" s="4" t="s">
        <v>215</v>
      </c>
      <c r="F309" s="19" t="s">
        <v>43</v>
      </c>
      <c r="G309" s="5" t="s">
        <v>216</v>
      </c>
      <c r="H309" s="5" t="s">
        <v>217</v>
      </c>
      <c r="I309" s="14" t="s">
        <v>37</v>
      </c>
      <c r="J309" s="271"/>
    </row>
    <row r="311" spans="1:10" ht="57.6" x14ac:dyDescent="0.3">
      <c r="A311" s="14" t="s">
        <v>219</v>
      </c>
      <c r="B311" s="25" t="s">
        <v>790</v>
      </c>
      <c r="C311" s="25" t="s">
        <v>70</v>
      </c>
      <c r="D311" s="14">
        <v>1</v>
      </c>
      <c r="E311" s="4" t="s">
        <v>215</v>
      </c>
      <c r="F311" s="19" t="s">
        <v>43</v>
      </c>
      <c r="G311" s="5" t="s">
        <v>216</v>
      </c>
      <c r="H311" s="5" t="s">
        <v>217</v>
      </c>
      <c r="I311" s="14" t="s">
        <v>37</v>
      </c>
      <c r="J311" s="14" t="s">
        <v>37</v>
      </c>
    </row>
    <row r="312" spans="1:10" ht="15" thickBot="1" x14ac:dyDescent="0.35"/>
    <row r="313" spans="1:10" ht="16.8" thickBot="1" x14ac:dyDescent="0.35">
      <c r="A313" s="279" t="s">
        <v>10</v>
      </c>
      <c r="B313" s="280"/>
      <c r="C313" s="280"/>
      <c r="D313" s="280"/>
      <c r="E313" s="280"/>
      <c r="F313" s="280"/>
      <c r="G313" s="280"/>
      <c r="H313" s="280"/>
      <c r="I313" s="280"/>
      <c r="J313" s="281"/>
    </row>
    <row r="315" spans="1:10" x14ac:dyDescent="0.3">
      <c r="A315" s="204" t="s">
        <v>236</v>
      </c>
      <c r="B315" s="201" t="s">
        <v>791</v>
      </c>
      <c r="C315" s="201" t="s">
        <v>224</v>
      </c>
      <c r="D315" s="45">
        <v>1</v>
      </c>
      <c r="E315" s="46" t="s">
        <v>75</v>
      </c>
      <c r="F315" s="45" t="s">
        <v>249</v>
      </c>
      <c r="G315" s="47" t="s">
        <v>326</v>
      </c>
      <c r="H315" s="47" t="s">
        <v>104</v>
      </c>
      <c r="I315" s="45" t="s">
        <v>37</v>
      </c>
      <c r="J315" s="204" t="s">
        <v>37</v>
      </c>
    </row>
    <row r="316" spans="1:10" x14ac:dyDescent="0.3">
      <c r="A316" s="271"/>
      <c r="B316" s="161"/>
      <c r="C316" s="161"/>
      <c r="D316" s="14">
        <v>2</v>
      </c>
      <c r="E316" s="4" t="s">
        <v>76</v>
      </c>
      <c r="F316" s="14" t="str">
        <f>F315</f>
        <v xml:space="preserve">Aspire Intl  </v>
      </c>
      <c r="G316" s="5" t="s">
        <v>326</v>
      </c>
      <c r="H316" s="5" t="s">
        <v>105</v>
      </c>
      <c r="I316" s="14" t="s">
        <v>37</v>
      </c>
      <c r="J316" s="271"/>
    </row>
    <row r="317" spans="1:10" x14ac:dyDescent="0.3">
      <c r="A317" s="271"/>
      <c r="B317" s="161"/>
      <c r="C317" s="161"/>
      <c r="D317" s="14">
        <v>3</v>
      </c>
      <c r="E317" s="4" t="s">
        <v>77</v>
      </c>
      <c r="F317" s="14" t="s">
        <v>92</v>
      </c>
      <c r="G317" s="5" t="s">
        <v>327</v>
      </c>
      <c r="H317" s="5" t="s">
        <v>107</v>
      </c>
      <c r="I317" s="14" t="s">
        <v>37</v>
      </c>
      <c r="J317" s="271"/>
    </row>
    <row r="318" spans="1:10" x14ac:dyDescent="0.3">
      <c r="A318" s="271"/>
      <c r="B318" s="161"/>
      <c r="C318" s="161"/>
      <c r="D318" s="14">
        <v>4</v>
      </c>
      <c r="E318" s="4" t="s">
        <v>78</v>
      </c>
      <c r="F318" s="14" t="s">
        <v>156</v>
      </c>
      <c r="G318" s="5" t="s">
        <v>326</v>
      </c>
      <c r="H318" s="5" t="s">
        <v>108</v>
      </c>
      <c r="I318" s="14" t="s">
        <v>37</v>
      </c>
      <c r="J318" s="271"/>
    </row>
    <row r="319" spans="1:10" x14ac:dyDescent="0.3">
      <c r="A319" s="271"/>
      <c r="B319" s="161"/>
      <c r="C319" s="161"/>
      <c r="D319" s="14">
        <v>5</v>
      </c>
      <c r="E319" s="4" t="s">
        <v>79</v>
      </c>
      <c r="F319" s="14" t="s">
        <v>94</v>
      </c>
      <c r="G319" s="5" t="s">
        <v>326</v>
      </c>
      <c r="H319" s="5" t="s">
        <v>105</v>
      </c>
      <c r="I319" s="14" t="s">
        <v>37</v>
      </c>
      <c r="J319" s="271"/>
    </row>
    <row r="320" spans="1:10" x14ac:dyDescent="0.3">
      <c r="A320" s="271"/>
      <c r="B320" s="161"/>
      <c r="C320" s="161"/>
      <c r="D320" s="14">
        <v>6</v>
      </c>
      <c r="E320" s="4" t="s">
        <v>225</v>
      </c>
      <c r="F320" s="14" t="s">
        <v>95</v>
      </c>
      <c r="G320" s="5" t="s">
        <v>328</v>
      </c>
      <c r="H320" s="5" t="s">
        <v>110</v>
      </c>
      <c r="I320" s="14" t="s">
        <v>37</v>
      </c>
      <c r="J320" s="271"/>
    </row>
    <row r="321" spans="1:10" x14ac:dyDescent="0.25">
      <c r="A321" s="271"/>
      <c r="B321" s="161"/>
      <c r="C321" s="161"/>
      <c r="D321" s="14">
        <v>7</v>
      </c>
      <c r="E321" s="4" t="s">
        <v>81</v>
      </c>
      <c r="F321" s="33" t="s">
        <v>164</v>
      </c>
      <c r="G321" s="5" t="s">
        <v>326</v>
      </c>
      <c r="H321" s="5" t="s">
        <v>106</v>
      </c>
      <c r="I321" s="14" t="s">
        <v>37</v>
      </c>
      <c r="J321" s="271"/>
    </row>
    <row r="322" spans="1:10" x14ac:dyDescent="0.3">
      <c r="A322" s="271"/>
      <c r="B322" s="161"/>
      <c r="C322" s="161"/>
      <c r="D322" s="14">
        <v>8</v>
      </c>
      <c r="E322" s="4" t="s">
        <v>82</v>
      </c>
      <c r="F322" s="14">
        <v>1</v>
      </c>
      <c r="G322" s="5" t="s">
        <v>329</v>
      </c>
      <c r="H322" s="5" t="s">
        <v>111</v>
      </c>
      <c r="I322" s="14" t="s">
        <v>37</v>
      </c>
      <c r="J322" s="271"/>
    </row>
    <row r="323" spans="1:10" x14ac:dyDescent="0.3">
      <c r="A323" s="271"/>
      <c r="B323" s="161"/>
      <c r="C323" s="161"/>
      <c r="D323" s="14">
        <v>9</v>
      </c>
      <c r="E323" s="4" t="s">
        <v>83</v>
      </c>
      <c r="F323" s="19" t="s">
        <v>43</v>
      </c>
      <c r="G323" s="34" t="s">
        <v>102</v>
      </c>
      <c r="H323" s="5" t="s">
        <v>113</v>
      </c>
      <c r="I323" s="14" t="s">
        <v>37</v>
      </c>
      <c r="J323" s="271"/>
    </row>
    <row r="324" spans="1:10" x14ac:dyDescent="0.3">
      <c r="A324" s="271"/>
      <c r="B324" s="161"/>
      <c r="C324" s="161"/>
      <c r="D324" s="14">
        <v>10</v>
      </c>
      <c r="E324" s="4" t="s">
        <v>88</v>
      </c>
      <c r="F324" s="14" t="s">
        <v>175</v>
      </c>
      <c r="G324" s="5" t="s">
        <v>326</v>
      </c>
      <c r="H324" s="5" t="s">
        <v>105</v>
      </c>
      <c r="I324" s="14" t="s">
        <v>37</v>
      </c>
      <c r="J324" s="271"/>
    </row>
    <row r="325" spans="1:10" x14ac:dyDescent="0.3">
      <c r="A325" s="271"/>
      <c r="B325" s="161"/>
      <c r="C325" s="161"/>
      <c r="D325" s="14">
        <v>11</v>
      </c>
      <c r="E325" s="4" t="s">
        <v>84</v>
      </c>
      <c r="F325" s="35">
        <v>46032</v>
      </c>
      <c r="G325" s="5" t="s">
        <v>328</v>
      </c>
      <c r="H325" s="5" t="s">
        <v>110</v>
      </c>
      <c r="I325" s="14" t="s">
        <v>37</v>
      </c>
      <c r="J325" s="271"/>
    </row>
    <row r="326" spans="1:10" x14ac:dyDescent="0.3">
      <c r="A326" s="271"/>
      <c r="B326" s="161"/>
      <c r="C326" s="161"/>
      <c r="D326" s="14">
        <v>12</v>
      </c>
      <c r="E326" s="4" t="s">
        <v>85</v>
      </c>
      <c r="F326" s="14" t="s">
        <v>98</v>
      </c>
      <c r="G326" s="5" t="s">
        <v>330</v>
      </c>
      <c r="H326" s="5" t="s">
        <v>114</v>
      </c>
      <c r="I326" s="14" t="s">
        <v>37</v>
      </c>
      <c r="J326" s="271"/>
    </row>
    <row r="327" spans="1:10" x14ac:dyDescent="0.3">
      <c r="A327" s="271"/>
      <c r="B327" s="161"/>
      <c r="C327" s="161"/>
      <c r="D327" s="14">
        <v>13</v>
      </c>
      <c r="E327" s="4" t="s">
        <v>86</v>
      </c>
      <c r="F327" s="14" t="s">
        <v>99</v>
      </c>
      <c r="G327" s="5" t="s">
        <v>330</v>
      </c>
      <c r="H327" s="5" t="s">
        <v>112</v>
      </c>
      <c r="I327" s="14" t="s">
        <v>37</v>
      </c>
      <c r="J327" s="271"/>
    </row>
    <row r="328" spans="1:10" x14ac:dyDescent="0.3">
      <c r="A328" s="271"/>
      <c r="B328" s="161"/>
      <c r="C328" s="161"/>
      <c r="D328" s="14">
        <v>14</v>
      </c>
      <c r="E328" s="4" t="s">
        <v>87</v>
      </c>
      <c r="F328" s="14">
        <v>8691047788</v>
      </c>
      <c r="G328" s="5" t="s">
        <v>330</v>
      </c>
      <c r="H328" s="5" t="s">
        <v>115</v>
      </c>
      <c r="I328" s="14" t="s">
        <v>37</v>
      </c>
      <c r="J328" s="271"/>
    </row>
    <row r="329" spans="1:10" x14ac:dyDescent="0.3">
      <c r="A329" s="271"/>
      <c r="B329" s="161"/>
      <c r="C329" s="161"/>
      <c r="D329" s="14">
        <v>15</v>
      </c>
      <c r="E329" s="4" t="s">
        <v>89</v>
      </c>
      <c r="F329" s="14" t="s">
        <v>100</v>
      </c>
      <c r="G329" s="5" t="s">
        <v>326</v>
      </c>
      <c r="H329" s="5" t="s">
        <v>109</v>
      </c>
      <c r="I329" s="14" t="s">
        <v>37</v>
      </c>
      <c r="J329" s="271"/>
    </row>
    <row r="330" spans="1:10" x14ac:dyDescent="0.3">
      <c r="A330" s="271"/>
      <c r="B330" s="161"/>
      <c r="C330" s="161"/>
      <c r="D330" s="14">
        <v>16</v>
      </c>
      <c r="E330" s="4" t="s">
        <v>226</v>
      </c>
      <c r="F330" s="19" t="s">
        <v>43</v>
      </c>
      <c r="G330" s="5" t="s">
        <v>227</v>
      </c>
      <c r="H330" s="5" t="s">
        <v>228</v>
      </c>
      <c r="I330" s="14" t="s">
        <v>37</v>
      </c>
      <c r="J330" s="271"/>
    </row>
    <row r="332" spans="1:10" x14ac:dyDescent="0.3">
      <c r="A332" s="271" t="s">
        <v>237</v>
      </c>
      <c r="B332" s="161" t="s">
        <v>792</v>
      </c>
      <c r="C332" s="161" t="s">
        <v>224</v>
      </c>
      <c r="D332" s="14">
        <v>1</v>
      </c>
      <c r="E332" s="4" t="s">
        <v>75</v>
      </c>
      <c r="F332" s="14" t="s">
        <v>153</v>
      </c>
      <c r="G332" s="5" t="s">
        <v>326</v>
      </c>
      <c r="H332" s="5" t="s">
        <v>104</v>
      </c>
      <c r="I332" s="14" t="s">
        <v>37</v>
      </c>
      <c r="J332" s="271" t="s">
        <v>37</v>
      </c>
    </row>
    <row r="333" spans="1:10" x14ac:dyDescent="0.3">
      <c r="A333" s="271"/>
      <c r="B333" s="161"/>
      <c r="C333" s="161"/>
      <c r="D333" s="14">
        <v>2</v>
      </c>
      <c r="E333" s="4" t="s">
        <v>76</v>
      </c>
      <c r="F333" s="14" t="s">
        <v>118</v>
      </c>
      <c r="G333" s="5" t="s">
        <v>326</v>
      </c>
      <c r="H333" s="5" t="s">
        <v>105</v>
      </c>
      <c r="I333" s="14" t="s">
        <v>37</v>
      </c>
      <c r="J333" s="271"/>
    </row>
    <row r="334" spans="1:10" x14ac:dyDescent="0.3">
      <c r="A334" s="271"/>
      <c r="B334" s="161"/>
      <c r="C334" s="161"/>
      <c r="D334" s="14">
        <v>3</v>
      </c>
      <c r="E334" s="4" t="s">
        <v>77</v>
      </c>
      <c r="F334" s="14" t="s">
        <v>123</v>
      </c>
      <c r="G334" s="5" t="s">
        <v>327</v>
      </c>
      <c r="H334" s="5" t="s">
        <v>107</v>
      </c>
      <c r="I334" s="14" t="s">
        <v>37</v>
      </c>
      <c r="J334" s="271"/>
    </row>
    <row r="335" spans="1:10" x14ac:dyDescent="0.3">
      <c r="A335" s="271"/>
      <c r="B335" s="161"/>
      <c r="C335" s="161"/>
      <c r="D335" s="14">
        <v>4</v>
      </c>
      <c r="E335" s="4" t="s">
        <v>78</v>
      </c>
      <c r="F335" s="14" t="s">
        <v>122</v>
      </c>
      <c r="G335" s="5" t="s">
        <v>326</v>
      </c>
      <c r="H335" s="5" t="s">
        <v>108</v>
      </c>
      <c r="I335" s="14" t="s">
        <v>37</v>
      </c>
      <c r="J335" s="271"/>
    </row>
    <row r="336" spans="1:10" x14ac:dyDescent="0.3">
      <c r="A336" s="271"/>
      <c r="B336" s="161"/>
      <c r="C336" s="161"/>
      <c r="D336" s="14">
        <v>5</v>
      </c>
      <c r="E336" s="4" t="s">
        <v>79</v>
      </c>
      <c r="F336" s="14" t="s">
        <v>94</v>
      </c>
      <c r="G336" s="5" t="s">
        <v>326</v>
      </c>
      <c r="H336" s="5" t="s">
        <v>105</v>
      </c>
      <c r="I336" s="14" t="s">
        <v>37</v>
      </c>
      <c r="J336" s="271"/>
    </row>
    <row r="337" spans="1:10" x14ac:dyDescent="0.3">
      <c r="A337" s="271"/>
      <c r="B337" s="161"/>
      <c r="C337" s="161"/>
      <c r="D337" s="14">
        <v>6</v>
      </c>
      <c r="E337" s="4" t="s">
        <v>225</v>
      </c>
      <c r="F337" s="14" t="s">
        <v>95</v>
      </c>
      <c r="G337" s="5" t="s">
        <v>328</v>
      </c>
      <c r="H337" s="5" t="s">
        <v>110</v>
      </c>
      <c r="I337" s="14" t="s">
        <v>37</v>
      </c>
      <c r="J337" s="271"/>
    </row>
    <row r="338" spans="1:10" x14ac:dyDescent="0.3">
      <c r="A338" s="271"/>
      <c r="B338" s="161"/>
      <c r="C338" s="161"/>
      <c r="D338" s="14">
        <v>7</v>
      </c>
      <c r="E338" s="4" t="s">
        <v>88</v>
      </c>
      <c r="F338" s="14" t="s">
        <v>97</v>
      </c>
      <c r="G338" s="5" t="s">
        <v>326</v>
      </c>
      <c r="H338" s="5" t="s">
        <v>105</v>
      </c>
      <c r="I338" s="14" t="s">
        <v>37</v>
      </c>
      <c r="J338" s="271"/>
    </row>
    <row r="339" spans="1:10" x14ac:dyDescent="0.3">
      <c r="A339" s="271"/>
      <c r="B339" s="161"/>
      <c r="C339" s="161"/>
      <c r="D339" s="14">
        <v>8</v>
      </c>
      <c r="E339" s="4" t="s">
        <v>84</v>
      </c>
      <c r="F339" s="35">
        <v>46032</v>
      </c>
      <c r="G339" s="5" t="s">
        <v>328</v>
      </c>
      <c r="H339" s="5" t="s">
        <v>110</v>
      </c>
      <c r="I339" s="14" t="s">
        <v>37</v>
      </c>
      <c r="J339" s="271"/>
    </row>
    <row r="340" spans="1:10" x14ac:dyDescent="0.3">
      <c r="A340" s="271"/>
      <c r="B340" s="161"/>
      <c r="C340" s="161"/>
      <c r="D340" s="14">
        <v>9</v>
      </c>
      <c r="E340" s="4" t="s">
        <v>85</v>
      </c>
      <c r="F340" s="14" t="s">
        <v>119</v>
      </c>
      <c r="G340" s="5" t="s">
        <v>330</v>
      </c>
      <c r="H340" s="5" t="s">
        <v>114</v>
      </c>
      <c r="I340" s="14" t="s">
        <v>37</v>
      </c>
      <c r="J340" s="271"/>
    </row>
    <row r="341" spans="1:10" x14ac:dyDescent="0.3">
      <c r="A341" s="271"/>
      <c r="B341" s="161"/>
      <c r="C341" s="161"/>
      <c r="D341" s="14">
        <v>10</v>
      </c>
      <c r="E341" s="4" t="s">
        <v>86</v>
      </c>
      <c r="F341" s="14" t="s">
        <v>120</v>
      </c>
      <c r="G341" s="5" t="s">
        <v>330</v>
      </c>
      <c r="H341" s="5" t="s">
        <v>112</v>
      </c>
      <c r="I341" s="14" t="s">
        <v>37</v>
      </c>
      <c r="J341" s="271"/>
    </row>
    <row r="342" spans="1:10" x14ac:dyDescent="0.3">
      <c r="A342" s="271"/>
      <c r="B342" s="161"/>
      <c r="C342" s="161"/>
      <c r="D342" s="14">
        <v>11</v>
      </c>
      <c r="E342" s="4" t="s">
        <v>87</v>
      </c>
      <c r="F342" s="14">
        <v>8691047788</v>
      </c>
      <c r="G342" s="5" t="s">
        <v>330</v>
      </c>
      <c r="H342" s="5" t="s">
        <v>115</v>
      </c>
      <c r="I342" s="14" t="s">
        <v>37</v>
      </c>
      <c r="J342" s="271"/>
    </row>
    <row r="343" spans="1:10" x14ac:dyDescent="0.3">
      <c r="A343" s="271"/>
      <c r="B343" s="161"/>
      <c r="C343" s="161"/>
      <c r="D343" s="14">
        <v>12</v>
      </c>
      <c r="E343" s="4" t="s">
        <v>89</v>
      </c>
      <c r="F343" s="14" t="s">
        <v>121</v>
      </c>
      <c r="G343" s="5" t="s">
        <v>326</v>
      </c>
      <c r="H343" s="5" t="s">
        <v>109</v>
      </c>
      <c r="I343" s="14" t="s">
        <v>37</v>
      </c>
      <c r="J343" s="271"/>
    </row>
    <row r="344" spans="1:10" x14ac:dyDescent="0.3">
      <c r="A344" s="271"/>
      <c r="B344" s="161"/>
      <c r="C344" s="161"/>
      <c r="D344" s="14">
        <v>13</v>
      </c>
      <c r="E344" s="4" t="s">
        <v>226</v>
      </c>
      <c r="F344" s="19" t="s">
        <v>43</v>
      </c>
      <c r="G344" s="5" t="s">
        <v>229</v>
      </c>
      <c r="H344" s="5" t="s">
        <v>230</v>
      </c>
      <c r="I344" s="14" t="s">
        <v>37</v>
      </c>
      <c r="J344" s="271"/>
    </row>
    <row r="346" spans="1:10" x14ac:dyDescent="0.3">
      <c r="A346" s="271" t="s">
        <v>238</v>
      </c>
      <c r="B346" s="161" t="s">
        <v>793</v>
      </c>
      <c r="C346" s="161" t="s">
        <v>224</v>
      </c>
      <c r="D346" s="14">
        <v>1</v>
      </c>
      <c r="E346" s="4" t="s">
        <v>75</v>
      </c>
      <c r="F346" s="14" t="s">
        <v>128</v>
      </c>
      <c r="G346" s="5" t="s">
        <v>326</v>
      </c>
      <c r="H346" s="5" t="s">
        <v>104</v>
      </c>
      <c r="I346" s="14" t="s">
        <v>37</v>
      </c>
      <c r="J346" s="271" t="s">
        <v>37</v>
      </c>
    </row>
    <row r="347" spans="1:10" x14ac:dyDescent="0.3">
      <c r="A347" s="271"/>
      <c r="B347" s="161"/>
      <c r="C347" s="161"/>
      <c r="D347" s="14">
        <v>2</v>
      </c>
      <c r="E347" s="4" t="s">
        <v>76</v>
      </c>
      <c r="F347" s="14" t="s">
        <v>128</v>
      </c>
      <c r="G347" s="5" t="s">
        <v>326</v>
      </c>
      <c r="H347" s="5" t="s">
        <v>105</v>
      </c>
      <c r="I347" s="14" t="s">
        <v>37</v>
      </c>
      <c r="J347" s="271"/>
    </row>
    <row r="348" spans="1:10" x14ac:dyDescent="0.3">
      <c r="A348" s="271"/>
      <c r="B348" s="161"/>
      <c r="C348" s="161"/>
      <c r="D348" s="14">
        <v>3</v>
      </c>
      <c r="E348" s="4" t="s">
        <v>77</v>
      </c>
      <c r="F348" s="14" t="s">
        <v>133</v>
      </c>
      <c r="G348" s="5" t="s">
        <v>327</v>
      </c>
      <c r="H348" s="5" t="s">
        <v>107</v>
      </c>
      <c r="I348" s="14" t="s">
        <v>37</v>
      </c>
      <c r="J348" s="271"/>
    </row>
    <row r="349" spans="1:10" x14ac:dyDescent="0.3">
      <c r="A349" s="271"/>
      <c r="B349" s="161"/>
      <c r="C349" s="161"/>
      <c r="D349" s="14">
        <v>4</v>
      </c>
      <c r="E349" s="4" t="s">
        <v>78</v>
      </c>
      <c r="F349" s="14" t="s">
        <v>131</v>
      </c>
      <c r="G349" s="5" t="s">
        <v>326</v>
      </c>
      <c r="H349" s="5" t="s">
        <v>108</v>
      </c>
      <c r="I349" s="14" t="s">
        <v>37</v>
      </c>
      <c r="J349" s="271"/>
    </row>
    <row r="350" spans="1:10" x14ac:dyDescent="0.3">
      <c r="A350" s="271"/>
      <c r="B350" s="161"/>
      <c r="C350" s="161"/>
      <c r="D350" s="14">
        <v>5</v>
      </c>
      <c r="E350" s="4" t="s">
        <v>79</v>
      </c>
      <c r="F350" s="14" t="s">
        <v>132</v>
      </c>
      <c r="G350" s="5" t="s">
        <v>326</v>
      </c>
      <c r="H350" s="5" t="s">
        <v>105</v>
      </c>
      <c r="I350" s="14" t="s">
        <v>37</v>
      </c>
      <c r="J350" s="271"/>
    </row>
    <row r="351" spans="1:10" x14ac:dyDescent="0.3">
      <c r="A351" s="271"/>
      <c r="B351" s="161"/>
      <c r="C351" s="161"/>
      <c r="D351" s="14">
        <v>6</v>
      </c>
      <c r="E351" s="4" t="s">
        <v>225</v>
      </c>
      <c r="F351" s="14" t="s">
        <v>95</v>
      </c>
      <c r="G351" s="5" t="s">
        <v>328</v>
      </c>
      <c r="H351" s="5" t="s">
        <v>110</v>
      </c>
      <c r="I351" s="14" t="s">
        <v>37</v>
      </c>
      <c r="J351" s="271"/>
    </row>
    <row r="352" spans="1:10" x14ac:dyDescent="0.25">
      <c r="A352" s="271"/>
      <c r="B352" s="161"/>
      <c r="C352" s="161"/>
      <c r="D352" s="14">
        <v>7</v>
      </c>
      <c r="E352" s="4" t="s">
        <v>81</v>
      </c>
      <c r="F352" s="33" t="s">
        <v>96</v>
      </c>
      <c r="G352" s="5" t="s">
        <v>326</v>
      </c>
      <c r="H352" s="5" t="s">
        <v>106</v>
      </c>
      <c r="I352" s="14" t="s">
        <v>37</v>
      </c>
      <c r="J352" s="271"/>
    </row>
    <row r="353" spans="1:10" x14ac:dyDescent="0.3">
      <c r="A353" s="271"/>
      <c r="B353" s="161"/>
      <c r="C353" s="161"/>
      <c r="D353" s="14">
        <v>8</v>
      </c>
      <c r="E353" s="4" t="s">
        <v>82</v>
      </c>
      <c r="F353" s="14">
        <v>2</v>
      </c>
      <c r="G353" s="5" t="s">
        <v>329</v>
      </c>
      <c r="H353" s="5" t="s">
        <v>111</v>
      </c>
      <c r="I353" s="14" t="s">
        <v>37</v>
      </c>
      <c r="J353" s="271"/>
    </row>
    <row r="354" spans="1:10" x14ac:dyDescent="0.3">
      <c r="A354" s="271"/>
      <c r="B354" s="161"/>
      <c r="C354" s="161"/>
      <c r="D354" s="14">
        <v>9</v>
      </c>
      <c r="E354" s="4" t="s">
        <v>83</v>
      </c>
      <c r="F354" s="19" t="s">
        <v>43</v>
      </c>
      <c r="G354" s="34" t="s">
        <v>102</v>
      </c>
      <c r="H354" s="5" t="s">
        <v>113</v>
      </c>
      <c r="I354" s="14" t="s">
        <v>37</v>
      </c>
      <c r="J354" s="271"/>
    </row>
    <row r="355" spans="1:10" x14ac:dyDescent="0.3">
      <c r="A355" s="271"/>
      <c r="B355" s="161"/>
      <c r="C355" s="161"/>
      <c r="D355" s="14">
        <v>10</v>
      </c>
      <c r="E355" s="4" t="s">
        <v>88</v>
      </c>
      <c r="F355" s="14" t="s">
        <v>97</v>
      </c>
      <c r="G355" s="5" t="s">
        <v>326</v>
      </c>
      <c r="H355" s="5" t="s">
        <v>105</v>
      </c>
      <c r="I355" s="14" t="s">
        <v>37</v>
      </c>
      <c r="J355" s="271"/>
    </row>
    <row r="356" spans="1:10" x14ac:dyDescent="0.3">
      <c r="A356" s="271"/>
      <c r="B356" s="161"/>
      <c r="C356" s="161"/>
      <c r="D356" s="14">
        <v>11</v>
      </c>
      <c r="E356" s="4" t="s">
        <v>84</v>
      </c>
      <c r="F356" s="35">
        <v>46032</v>
      </c>
      <c r="G356" s="5" t="s">
        <v>328</v>
      </c>
      <c r="H356" s="5" t="s">
        <v>110</v>
      </c>
      <c r="I356" s="14" t="s">
        <v>37</v>
      </c>
      <c r="J356" s="271"/>
    </row>
    <row r="357" spans="1:10" x14ac:dyDescent="0.3">
      <c r="A357" s="271"/>
      <c r="B357" s="161"/>
      <c r="C357" s="161"/>
      <c r="D357" s="14">
        <v>12</v>
      </c>
      <c r="E357" s="4" t="s">
        <v>85</v>
      </c>
      <c r="F357" s="14" t="s">
        <v>129</v>
      </c>
      <c r="G357" s="5" t="s">
        <v>330</v>
      </c>
      <c r="H357" s="5" t="s">
        <v>114</v>
      </c>
      <c r="I357" s="14" t="s">
        <v>37</v>
      </c>
      <c r="J357" s="271"/>
    </row>
    <row r="358" spans="1:10" x14ac:dyDescent="0.3">
      <c r="A358" s="271"/>
      <c r="B358" s="161"/>
      <c r="C358" s="161"/>
      <c r="D358" s="14">
        <v>13</v>
      </c>
      <c r="E358" s="4" t="s">
        <v>86</v>
      </c>
      <c r="F358" s="14" t="s">
        <v>127</v>
      </c>
      <c r="G358" s="5" t="s">
        <v>330</v>
      </c>
      <c r="H358" s="5" t="s">
        <v>112</v>
      </c>
      <c r="I358" s="14" t="s">
        <v>37</v>
      </c>
      <c r="J358" s="271"/>
    </row>
    <row r="359" spans="1:10" x14ac:dyDescent="0.3">
      <c r="A359" s="271"/>
      <c r="B359" s="161"/>
      <c r="C359" s="161"/>
      <c r="D359" s="14">
        <v>14</v>
      </c>
      <c r="E359" s="4" t="s">
        <v>87</v>
      </c>
      <c r="F359" s="14">
        <v>8691047788</v>
      </c>
      <c r="G359" s="5" t="s">
        <v>330</v>
      </c>
      <c r="H359" s="5" t="s">
        <v>115</v>
      </c>
      <c r="I359" s="14" t="s">
        <v>37</v>
      </c>
      <c r="J359" s="271"/>
    </row>
    <row r="360" spans="1:10" x14ac:dyDescent="0.3">
      <c r="A360" s="271"/>
      <c r="B360" s="161"/>
      <c r="C360" s="161"/>
      <c r="D360" s="14">
        <v>15</v>
      </c>
      <c r="E360" s="4" t="s">
        <v>89</v>
      </c>
      <c r="F360" s="14" t="s">
        <v>130</v>
      </c>
      <c r="G360" s="5" t="s">
        <v>326</v>
      </c>
      <c r="H360" s="5" t="s">
        <v>109</v>
      </c>
      <c r="I360" s="14" t="s">
        <v>37</v>
      </c>
      <c r="J360" s="271"/>
    </row>
    <row r="361" spans="1:10" x14ac:dyDescent="0.3">
      <c r="A361" s="271"/>
      <c r="B361" s="161"/>
      <c r="C361" s="161"/>
      <c r="D361" s="14">
        <v>16</v>
      </c>
      <c r="E361" s="4" t="s">
        <v>226</v>
      </c>
      <c r="F361" s="19" t="s">
        <v>43</v>
      </c>
      <c r="G361" s="5" t="s">
        <v>227</v>
      </c>
      <c r="H361" s="5" t="s">
        <v>228</v>
      </c>
      <c r="I361" s="14" t="s">
        <v>37</v>
      </c>
      <c r="J361" s="271"/>
    </row>
    <row r="363" spans="1:10" x14ac:dyDescent="0.3">
      <c r="A363" s="271" t="s">
        <v>239</v>
      </c>
      <c r="B363" s="161" t="s">
        <v>794</v>
      </c>
      <c r="C363" s="161" t="s">
        <v>224</v>
      </c>
      <c r="D363" s="14">
        <v>1</v>
      </c>
      <c r="E363" s="4" t="s">
        <v>75</v>
      </c>
      <c r="F363" s="14" t="s">
        <v>128</v>
      </c>
      <c r="G363" s="5" t="s">
        <v>326</v>
      </c>
      <c r="H363" s="5" t="s">
        <v>104</v>
      </c>
      <c r="I363" s="14" t="s">
        <v>37</v>
      </c>
      <c r="J363" s="271" t="s">
        <v>37</v>
      </c>
    </row>
    <row r="364" spans="1:10" x14ac:dyDescent="0.3">
      <c r="A364" s="271"/>
      <c r="B364" s="161"/>
      <c r="C364" s="161"/>
      <c r="D364" s="14">
        <v>2</v>
      </c>
      <c r="E364" s="4" t="s">
        <v>76</v>
      </c>
      <c r="F364" s="14" t="s">
        <v>128</v>
      </c>
      <c r="G364" s="5" t="s">
        <v>326</v>
      </c>
      <c r="H364" s="5" t="s">
        <v>105</v>
      </c>
      <c r="I364" s="14" t="s">
        <v>37</v>
      </c>
      <c r="J364" s="271"/>
    </row>
    <row r="365" spans="1:10" x14ac:dyDescent="0.3">
      <c r="A365" s="271"/>
      <c r="B365" s="161"/>
      <c r="C365" s="161"/>
      <c r="D365" s="14">
        <v>3</v>
      </c>
      <c r="E365" s="4" t="s">
        <v>77</v>
      </c>
      <c r="F365" s="14" t="s">
        <v>134</v>
      </c>
      <c r="G365" s="5" t="s">
        <v>327</v>
      </c>
      <c r="H365" s="5" t="s">
        <v>107</v>
      </c>
      <c r="I365" s="14" t="s">
        <v>37</v>
      </c>
      <c r="J365" s="271"/>
    </row>
    <row r="366" spans="1:10" x14ac:dyDescent="0.3">
      <c r="A366" s="271"/>
      <c r="B366" s="161"/>
      <c r="C366" s="161"/>
      <c r="D366" s="14">
        <v>4</v>
      </c>
      <c r="E366" s="4" t="s">
        <v>78</v>
      </c>
      <c r="F366" s="14" t="s">
        <v>131</v>
      </c>
      <c r="G366" s="5" t="s">
        <v>326</v>
      </c>
      <c r="H366" s="5" t="s">
        <v>108</v>
      </c>
      <c r="I366" s="14" t="s">
        <v>37</v>
      </c>
      <c r="J366" s="271"/>
    </row>
    <row r="367" spans="1:10" x14ac:dyDescent="0.3">
      <c r="A367" s="271"/>
      <c r="B367" s="161"/>
      <c r="C367" s="161"/>
      <c r="D367" s="14">
        <v>5</v>
      </c>
      <c r="E367" s="4" t="s">
        <v>79</v>
      </c>
      <c r="F367" s="14" t="s">
        <v>132</v>
      </c>
      <c r="G367" s="5" t="s">
        <v>326</v>
      </c>
      <c r="H367" s="5" t="s">
        <v>105</v>
      </c>
      <c r="I367" s="14" t="s">
        <v>37</v>
      </c>
      <c r="J367" s="271"/>
    </row>
    <row r="368" spans="1:10" x14ac:dyDescent="0.3">
      <c r="A368" s="271"/>
      <c r="B368" s="161"/>
      <c r="C368" s="161"/>
      <c r="D368" s="14">
        <v>6</v>
      </c>
      <c r="E368" s="4" t="s">
        <v>225</v>
      </c>
      <c r="F368" s="14" t="s">
        <v>95</v>
      </c>
      <c r="G368" s="5" t="s">
        <v>328</v>
      </c>
      <c r="H368" s="5" t="s">
        <v>110</v>
      </c>
      <c r="I368" s="14" t="s">
        <v>37</v>
      </c>
      <c r="J368" s="271"/>
    </row>
    <row r="369" spans="1:10" x14ac:dyDescent="0.25">
      <c r="A369" s="271"/>
      <c r="B369" s="161"/>
      <c r="C369" s="161"/>
      <c r="D369" s="14">
        <v>7</v>
      </c>
      <c r="E369" s="4" t="s">
        <v>81</v>
      </c>
      <c r="F369" s="33" t="s">
        <v>135</v>
      </c>
      <c r="G369" s="5" t="s">
        <v>326</v>
      </c>
      <c r="H369" s="5" t="s">
        <v>106</v>
      </c>
      <c r="I369" s="14" t="s">
        <v>37</v>
      </c>
      <c r="J369" s="271"/>
    </row>
    <row r="370" spans="1:10" x14ac:dyDescent="0.3">
      <c r="A370" s="271"/>
      <c r="B370" s="161"/>
      <c r="C370" s="161"/>
      <c r="D370" s="14">
        <v>8</v>
      </c>
      <c r="E370" s="4" t="s">
        <v>82</v>
      </c>
      <c r="F370" s="14">
        <v>5</v>
      </c>
      <c r="G370" s="5" t="s">
        <v>329</v>
      </c>
      <c r="H370" s="5" t="s">
        <v>111</v>
      </c>
      <c r="I370" s="14" t="s">
        <v>37</v>
      </c>
      <c r="J370" s="271"/>
    </row>
    <row r="371" spans="1:10" x14ac:dyDescent="0.3">
      <c r="A371" s="271"/>
      <c r="B371" s="161"/>
      <c r="C371" s="161"/>
      <c r="D371" s="14">
        <v>9</v>
      </c>
      <c r="E371" s="4" t="s">
        <v>83</v>
      </c>
      <c r="F371" s="19" t="s">
        <v>43</v>
      </c>
      <c r="G371" s="34" t="s">
        <v>102</v>
      </c>
      <c r="H371" s="5" t="s">
        <v>113</v>
      </c>
      <c r="I371" s="14" t="s">
        <v>37</v>
      </c>
      <c r="J371" s="271"/>
    </row>
    <row r="372" spans="1:10" x14ac:dyDescent="0.25">
      <c r="A372" s="271"/>
      <c r="B372" s="161"/>
      <c r="C372" s="161"/>
      <c r="D372" s="14">
        <v>10</v>
      </c>
      <c r="E372" s="4" t="s">
        <v>81</v>
      </c>
      <c r="F372" s="33" t="s">
        <v>96</v>
      </c>
      <c r="G372" s="5" t="s">
        <v>326</v>
      </c>
      <c r="H372" s="5" t="s">
        <v>106</v>
      </c>
      <c r="I372" s="14" t="s">
        <v>37</v>
      </c>
      <c r="J372" s="271"/>
    </row>
    <row r="373" spans="1:10" x14ac:dyDescent="0.3">
      <c r="A373" s="271"/>
      <c r="B373" s="161"/>
      <c r="C373" s="161"/>
      <c r="D373" s="14">
        <v>11</v>
      </c>
      <c r="E373" s="4" t="s">
        <v>82</v>
      </c>
      <c r="F373" s="14">
        <v>4</v>
      </c>
      <c r="G373" s="5" t="s">
        <v>329</v>
      </c>
      <c r="H373" s="5" t="s">
        <v>111</v>
      </c>
      <c r="I373" s="14" t="s">
        <v>37</v>
      </c>
      <c r="J373" s="271"/>
    </row>
    <row r="374" spans="1:10" x14ac:dyDescent="0.3">
      <c r="A374" s="271"/>
      <c r="B374" s="161"/>
      <c r="C374" s="161"/>
      <c r="D374" s="14">
        <v>12</v>
      </c>
      <c r="E374" s="4" t="s">
        <v>83</v>
      </c>
      <c r="F374" s="19" t="s">
        <v>43</v>
      </c>
      <c r="G374" s="34" t="s">
        <v>102</v>
      </c>
      <c r="H374" s="5" t="s">
        <v>113</v>
      </c>
      <c r="I374" s="14" t="s">
        <v>37</v>
      </c>
      <c r="J374" s="271"/>
    </row>
    <row r="375" spans="1:10" x14ac:dyDescent="0.3">
      <c r="A375" s="271"/>
      <c r="B375" s="161"/>
      <c r="C375" s="161"/>
      <c r="D375" s="14">
        <v>13</v>
      </c>
      <c r="E375" s="4" t="s">
        <v>88</v>
      </c>
      <c r="F375" s="14" t="s">
        <v>136</v>
      </c>
      <c r="G375" s="5" t="s">
        <v>326</v>
      </c>
      <c r="H375" s="5" t="s">
        <v>105</v>
      </c>
      <c r="I375" s="14" t="s">
        <v>37</v>
      </c>
      <c r="J375" s="271"/>
    </row>
    <row r="376" spans="1:10" x14ac:dyDescent="0.3">
      <c r="A376" s="271"/>
      <c r="B376" s="161"/>
      <c r="C376" s="161"/>
      <c r="D376" s="14">
        <v>14</v>
      </c>
      <c r="E376" s="4" t="s">
        <v>84</v>
      </c>
      <c r="F376" s="35">
        <v>46032</v>
      </c>
      <c r="G376" s="5" t="s">
        <v>328</v>
      </c>
      <c r="H376" s="5" t="s">
        <v>110</v>
      </c>
      <c r="I376" s="14" t="s">
        <v>37</v>
      </c>
      <c r="J376" s="271"/>
    </row>
    <row r="377" spans="1:10" x14ac:dyDescent="0.3">
      <c r="A377" s="271"/>
      <c r="B377" s="161"/>
      <c r="C377" s="161"/>
      <c r="D377" s="14">
        <v>15</v>
      </c>
      <c r="E377" s="4" t="s">
        <v>85</v>
      </c>
      <c r="F377" s="14" t="s">
        <v>129</v>
      </c>
      <c r="G377" s="5" t="s">
        <v>330</v>
      </c>
      <c r="H377" s="5" t="s">
        <v>114</v>
      </c>
      <c r="I377" s="14" t="s">
        <v>37</v>
      </c>
      <c r="J377" s="271"/>
    </row>
    <row r="378" spans="1:10" x14ac:dyDescent="0.3">
      <c r="A378" s="271"/>
      <c r="B378" s="161"/>
      <c r="C378" s="161"/>
      <c r="D378" s="14">
        <v>16</v>
      </c>
      <c r="E378" s="4" t="s">
        <v>86</v>
      </c>
      <c r="F378" s="14" t="s">
        <v>127</v>
      </c>
      <c r="G378" s="5" t="s">
        <v>330</v>
      </c>
      <c r="H378" s="5" t="s">
        <v>112</v>
      </c>
      <c r="I378" s="14" t="s">
        <v>37</v>
      </c>
      <c r="J378" s="271"/>
    </row>
    <row r="379" spans="1:10" x14ac:dyDescent="0.3">
      <c r="A379" s="271"/>
      <c r="B379" s="161"/>
      <c r="C379" s="161"/>
      <c r="D379" s="14">
        <v>17</v>
      </c>
      <c r="E379" s="4" t="s">
        <v>87</v>
      </c>
      <c r="F379" s="14">
        <v>8691047788</v>
      </c>
      <c r="G379" s="5" t="s">
        <v>330</v>
      </c>
      <c r="H379" s="5" t="s">
        <v>115</v>
      </c>
      <c r="I379" s="14" t="s">
        <v>37</v>
      </c>
      <c r="J379" s="271"/>
    </row>
    <row r="380" spans="1:10" x14ac:dyDescent="0.3">
      <c r="A380" s="271"/>
      <c r="B380" s="161"/>
      <c r="C380" s="161"/>
      <c r="D380" s="14">
        <v>18</v>
      </c>
      <c r="E380" s="4" t="s">
        <v>89</v>
      </c>
      <c r="F380" s="14" t="s">
        <v>130</v>
      </c>
      <c r="G380" s="5" t="s">
        <v>326</v>
      </c>
      <c r="H380" s="5" t="s">
        <v>109</v>
      </c>
      <c r="I380" s="14" t="s">
        <v>37</v>
      </c>
      <c r="J380" s="271"/>
    </row>
    <row r="381" spans="1:10" x14ac:dyDescent="0.3">
      <c r="A381" s="271"/>
      <c r="B381" s="161"/>
      <c r="C381" s="161"/>
      <c r="D381" s="14">
        <v>19</v>
      </c>
      <c r="E381" s="4" t="s">
        <v>226</v>
      </c>
      <c r="F381" s="19" t="s">
        <v>43</v>
      </c>
      <c r="G381" s="5" t="s">
        <v>227</v>
      </c>
      <c r="H381" s="5" t="s">
        <v>228</v>
      </c>
      <c r="I381" s="14" t="s">
        <v>37</v>
      </c>
      <c r="J381" s="271"/>
    </row>
    <row r="383" spans="1:10" x14ac:dyDescent="0.3">
      <c r="A383" s="271" t="s">
        <v>240</v>
      </c>
      <c r="B383" s="161" t="s">
        <v>795</v>
      </c>
      <c r="C383" s="161" t="s">
        <v>224</v>
      </c>
      <c r="D383" s="14">
        <v>1</v>
      </c>
      <c r="E383" s="4" t="s">
        <v>75</v>
      </c>
      <c r="F383" s="14" t="s">
        <v>139</v>
      </c>
      <c r="G383" s="5" t="s">
        <v>326</v>
      </c>
      <c r="H383" s="5" t="s">
        <v>104</v>
      </c>
      <c r="I383" s="14" t="s">
        <v>37</v>
      </c>
      <c r="J383" s="271" t="s">
        <v>37</v>
      </c>
    </row>
    <row r="384" spans="1:10" x14ac:dyDescent="0.3">
      <c r="A384" s="271"/>
      <c r="B384" s="161"/>
      <c r="C384" s="161"/>
      <c r="D384" s="14">
        <v>2</v>
      </c>
      <c r="E384" s="4" t="s">
        <v>76</v>
      </c>
      <c r="F384" s="14" t="s">
        <v>139</v>
      </c>
      <c r="G384" s="5" t="s">
        <v>326</v>
      </c>
      <c r="H384" s="5" t="s">
        <v>105</v>
      </c>
      <c r="I384" s="14" t="s">
        <v>37</v>
      </c>
      <c r="J384" s="271"/>
    </row>
    <row r="385" spans="1:10" x14ac:dyDescent="0.3">
      <c r="A385" s="271"/>
      <c r="B385" s="161"/>
      <c r="C385" s="161"/>
      <c r="D385" s="14">
        <v>3</v>
      </c>
      <c r="E385" s="4" t="s">
        <v>77</v>
      </c>
      <c r="F385" s="14" t="s">
        <v>140</v>
      </c>
      <c r="G385" s="5" t="s">
        <v>327</v>
      </c>
      <c r="H385" s="5" t="s">
        <v>107</v>
      </c>
      <c r="I385" s="14" t="s">
        <v>37</v>
      </c>
      <c r="J385" s="271"/>
    </row>
    <row r="386" spans="1:10" x14ac:dyDescent="0.3">
      <c r="A386" s="271"/>
      <c r="B386" s="161"/>
      <c r="C386" s="161"/>
      <c r="D386" s="14">
        <v>4</v>
      </c>
      <c r="E386" s="4" t="s">
        <v>78</v>
      </c>
      <c r="F386" s="14" t="s">
        <v>93</v>
      </c>
      <c r="G386" s="5" t="s">
        <v>326</v>
      </c>
      <c r="H386" s="5" t="s">
        <v>108</v>
      </c>
      <c r="I386" s="14" t="s">
        <v>37</v>
      </c>
      <c r="J386" s="271"/>
    </row>
    <row r="387" spans="1:10" x14ac:dyDescent="0.3">
      <c r="A387" s="271"/>
      <c r="B387" s="161"/>
      <c r="C387" s="161"/>
      <c r="D387" s="14">
        <v>5</v>
      </c>
      <c r="E387" s="4" t="s">
        <v>79</v>
      </c>
      <c r="F387" s="14" t="s">
        <v>141</v>
      </c>
      <c r="G387" s="5" t="s">
        <v>326</v>
      </c>
      <c r="H387" s="5" t="s">
        <v>105</v>
      </c>
      <c r="I387" s="14" t="s">
        <v>37</v>
      </c>
      <c r="J387" s="271"/>
    </row>
    <row r="388" spans="1:10" x14ac:dyDescent="0.3">
      <c r="A388" s="271"/>
      <c r="B388" s="161"/>
      <c r="C388" s="161"/>
      <c r="D388" s="14">
        <v>6</v>
      </c>
      <c r="E388" s="4" t="s">
        <v>225</v>
      </c>
      <c r="F388" s="14" t="s">
        <v>95</v>
      </c>
      <c r="G388" s="5" t="s">
        <v>328</v>
      </c>
      <c r="H388" s="5" t="s">
        <v>110</v>
      </c>
      <c r="I388" s="14" t="s">
        <v>37</v>
      </c>
      <c r="J388" s="271"/>
    </row>
    <row r="389" spans="1:10" x14ac:dyDescent="0.25">
      <c r="A389" s="271"/>
      <c r="B389" s="161"/>
      <c r="C389" s="161"/>
      <c r="D389" s="14">
        <v>7</v>
      </c>
      <c r="E389" s="4" t="s">
        <v>81</v>
      </c>
      <c r="F389" s="33" t="s">
        <v>145</v>
      </c>
      <c r="G389" s="5" t="s">
        <v>326</v>
      </c>
      <c r="H389" s="5" t="s">
        <v>106</v>
      </c>
      <c r="I389" s="14" t="s">
        <v>37</v>
      </c>
      <c r="J389" s="271"/>
    </row>
    <row r="390" spans="1:10" x14ac:dyDescent="0.3">
      <c r="A390" s="271"/>
      <c r="B390" s="161"/>
      <c r="C390" s="161"/>
      <c r="D390" s="14">
        <v>8</v>
      </c>
      <c r="E390" s="4" t="s">
        <v>82</v>
      </c>
      <c r="F390" s="14">
        <v>5</v>
      </c>
      <c r="G390" s="5" t="s">
        <v>329</v>
      </c>
      <c r="H390" s="5" t="s">
        <v>111</v>
      </c>
      <c r="I390" s="14" t="s">
        <v>37</v>
      </c>
      <c r="J390" s="271"/>
    </row>
    <row r="391" spans="1:10" x14ac:dyDescent="0.3">
      <c r="A391" s="271"/>
      <c r="B391" s="161"/>
      <c r="C391" s="161"/>
      <c r="D391" s="14">
        <v>9</v>
      </c>
      <c r="E391" s="4" t="s">
        <v>83</v>
      </c>
      <c r="F391" s="19" t="s">
        <v>43</v>
      </c>
      <c r="G391" s="34" t="s">
        <v>102</v>
      </c>
      <c r="H391" s="5" t="s">
        <v>113</v>
      </c>
      <c r="I391" s="14" t="s">
        <v>37</v>
      </c>
      <c r="J391" s="271"/>
    </row>
    <row r="392" spans="1:10" x14ac:dyDescent="0.3">
      <c r="A392" s="271"/>
      <c r="B392" s="161"/>
      <c r="C392" s="161"/>
      <c r="D392" s="14">
        <v>10</v>
      </c>
      <c r="E392" s="4" t="s">
        <v>88</v>
      </c>
      <c r="F392" s="14" t="s">
        <v>146</v>
      </c>
      <c r="G392" s="5" t="s">
        <v>326</v>
      </c>
      <c r="H392" s="5" t="s">
        <v>105</v>
      </c>
      <c r="I392" s="14" t="s">
        <v>37</v>
      </c>
      <c r="J392" s="271"/>
    </row>
    <row r="393" spans="1:10" x14ac:dyDescent="0.3">
      <c r="A393" s="271"/>
      <c r="B393" s="161"/>
      <c r="C393" s="161"/>
      <c r="D393" s="14">
        <v>11</v>
      </c>
      <c r="E393" s="4" t="s">
        <v>84</v>
      </c>
      <c r="F393" s="35" t="s">
        <v>147</v>
      </c>
      <c r="G393" s="5" t="s">
        <v>328</v>
      </c>
      <c r="H393" s="5" t="s">
        <v>110</v>
      </c>
      <c r="I393" s="14" t="s">
        <v>37</v>
      </c>
      <c r="J393" s="271"/>
    </row>
    <row r="394" spans="1:10" x14ac:dyDescent="0.3">
      <c r="A394" s="271"/>
      <c r="B394" s="161"/>
      <c r="C394" s="161"/>
      <c r="D394" s="14">
        <v>12</v>
      </c>
      <c r="E394" s="4" t="s">
        <v>85</v>
      </c>
      <c r="F394" s="14" t="s">
        <v>142</v>
      </c>
      <c r="G394" s="5" t="s">
        <v>330</v>
      </c>
      <c r="H394" s="5" t="s">
        <v>114</v>
      </c>
      <c r="I394" s="14" t="s">
        <v>37</v>
      </c>
      <c r="J394" s="271"/>
    </row>
    <row r="395" spans="1:10" x14ac:dyDescent="0.3">
      <c r="A395" s="271"/>
      <c r="B395" s="161"/>
      <c r="C395" s="161"/>
      <c r="D395" s="14">
        <v>13</v>
      </c>
      <c r="E395" s="4" t="s">
        <v>86</v>
      </c>
      <c r="F395" s="14" t="s">
        <v>143</v>
      </c>
      <c r="G395" s="5" t="s">
        <v>330</v>
      </c>
      <c r="H395" s="5" t="s">
        <v>112</v>
      </c>
      <c r="I395" s="14" t="s">
        <v>37</v>
      </c>
      <c r="J395" s="271"/>
    </row>
    <row r="396" spans="1:10" x14ac:dyDescent="0.3">
      <c r="A396" s="271"/>
      <c r="B396" s="161"/>
      <c r="C396" s="161"/>
      <c r="D396" s="14">
        <v>14</v>
      </c>
      <c r="E396" s="4" t="s">
        <v>87</v>
      </c>
      <c r="F396" s="14">
        <v>7738004598</v>
      </c>
      <c r="G396" s="5" t="s">
        <v>330</v>
      </c>
      <c r="H396" s="5" t="s">
        <v>115</v>
      </c>
      <c r="I396" s="14" t="s">
        <v>37</v>
      </c>
      <c r="J396" s="271"/>
    </row>
    <row r="397" spans="1:10" x14ac:dyDescent="0.3">
      <c r="A397" s="271"/>
      <c r="B397" s="161"/>
      <c r="C397" s="161"/>
      <c r="D397" s="14">
        <v>15</v>
      </c>
      <c r="E397" s="4" t="s">
        <v>89</v>
      </c>
      <c r="F397" s="14" t="s">
        <v>144</v>
      </c>
      <c r="G397" s="5" t="s">
        <v>326</v>
      </c>
      <c r="H397" s="5" t="s">
        <v>109</v>
      </c>
      <c r="I397" s="14" t="s">
        <v>37</v>
      </c>
      <c r="J397" s="271"/>
    </row>
    <row r="398" spans="1:10" x14ac:dyDescent="0.3">
      <c r="A398" s="271"/>
      <c r="B398" s="161"/>
      <c r="C398" s="161"/>
      <c r="D398" s="14">
        <v>16</v>
      </c>
      <c r="E398" s="4" t="s">
        <v>226</v>
      </c>
      <c r="F398" s="19" t="s">
        <v>43</v>
      </c>
      <c r="G398" s="5" t="s">
        <v>229</v>
      </c>
      <c r="H398" s="5" t="s">
        <v>231</v>
      </c>
      <c r="I398" s="14" t="s">
        <v>37</v>
      </c>
      <c r="J398" s="271"/>
    </row>
    <row r="400" spans="1:10" x14ac:dyDescent="0.3">
      <c r="A400" s="274" t="s">
        <v>241</v>
      </c>
      <c r="B400" s="277" t="s">
        <v>796</v>
      </c>
      <c r="C400" s="277" t="s">
        <v>224</v>
      </c>
      <c r="D400" s="36">
        <v>1</v>
      </c>
      <c r="E400" s="37" t="s">
        <v>75</v>
      </c>
      <c r="F400" s="36" t="s">
        <v>249</v>
      </c>
      <c r="G400" s="38" t="s">
        <v>326</v>
      </c>
      <c r="H400" s="38" t="s">
        <v>104</v>
      </c>
      <c r="I400" s="36" t="s">
        <v>37</v>
      </c>
      <c r="J400" s="274" t="s">
        <v>182</v>
      </c>
    </row>
    <row r="401" spans="1:10" x14ac:dyDescent="0.3">
      <c r="A401" s="275"/>
      <c r="B401" s="149"/>
      <c r="C401" s="149"/>
      <c r="D401" s="39">
        <v>2</v>
      </c>
      <c r="E401" s="40" t="s">
        <v>76</v>
      </c>
      <c r="F401" s="39" t="s">
        <v>249</v>
      </c>
      <c r="G401" s="41" t="s">
        <v>326</v>
      </c>
      <c r="H401" s="41" t="s">
        <v>105</v>
      </c>
      <c r="I401" s="39" t="s">
        <v>37</v>
      </c>
      <c r="J401" s="275"/>
    </row>
    <row r="402" spans="1:10" x14ac:dyDescent="0.3">
      <c r="A402" s="275"/>
      <c r="B402" s="149"/>
      <c r="C402" s="149"/>
      <c r="D402" s="39">
        <v>3</v>
      </c>
      <c r="E402" s="40" t="s">
        <v>77</v>
      </c>
      <c r="F402" s="39" t="s">
        <v>92</v>
      </c>
      <c r="G402" s="41" t="s">
        <v>327</v>
      </c>
      <c r="H402" s="41" t="s">
        <v>107</v>
      </c>
      <c r="I402" s="39" t="s">
        <v>37</v>
      </c>
      <c r="J402" s="275"/>
    </row>
    <row r="403" spans="1:10" x14ac:dyDescent="0.3">
      <c r="A403" s="275"/>
      <c r="B403" s="149"/>
      <c r="C403" s="149"/>
      <c r="D403" s="39">
        <v>4</v>
      </c>
      <c r="E403" s="40" t="s">
        <v>78</v>
      </c>
      <c r="F403" s="39" t="s">
        <v>93</v>
      </c>
      <c r="G403" s="41" t="s">
        <v>326</v>
      </c>
      <c r="H403" s="41" t="s">
        <v>108</v>
      </c>
      <c r="I403" s="39" t="s">
        <v>37</v>
      </c>
      <c r="J403" s="275"/>
    </row>
    <row r="404" spans="1:10" x14ac:dyDescent="0.3">
      <c r="A404" s="275"/>
      <c r="B404" s="149"/>
      <c r="C404" s="149"/>
      <c r="D404" s="39">
        <v>5</v>
      </c>
      <c r="E404" s="40" t="s">
        <v>79</v>
      </c>
      <c r="F404" s="39" t="s">
        <v>94</v>
      </c>
      <c r="G404" s="41" t="s">
        <v>326</v>
      </c>
      <c r="H404" s="41" t="s">
        <v>105</v>
      </c>
      <c r="I404" s="39" t="s">
        <v>37</v>
      </c>
      <c r="J404" s="275"/>
    </row>
    <row r="405" spans="1:10" x14ac:dyDescent="0.3">
      <c r="A405" s="275"/>
      <c r="B405" s="149"/>
      <c r="C405" s="149"/>
      <c r="D405" s="39">
        <v>6</v>
      </c>
      <c r="E405" s="40" t="s">
        <v>225</v>
      </c>
      <c r="F405" s="39" t="s">
        <v>95</v>
      </c>
      <c r="G405" s="41" t="s">
        <v>328</v>
      </c>
      <c r="H405" s="41" t="s">
        <v>110</v>
      </c>
      <c r="I405" s="39" t="s">
        <v>37</v>
      </c>
      <c r="J405" s="275"/>
    </row>
    <row r="406" spans="1:10" x14ac:dyDescent="0.25">
      <c r="A406" s="275"/>
      <c r="B406" s="149"/>
      <c r="C406" s="149"/>
      <c r="D406" s="39">
        <v>7</v>
      </c>
      <c r="E406" s="40" t="s">
        <v>81</v>
      </c>
      <c r="F406" s="42" t="s">
        <v>96</v>
      </c>
      <c r="G406" s="41" t="s">
        <v>326</v>
      </c>
      <c r="H406" s="41" t="s">
        <v>106</v>
      </c>
      <c r="I406" s="39" t="s">
        <v>37</v>
      </c>
      <c r="J406" s="275"/>
    </row>
    <row r="407" spans="1:10" x14ac:dyDescent="0.3">
      <c r="A407" s="275"/>
      <c r="B407" s="149"/>
      <c r="C407" s="149"/>
      <c r="D407" s="39">
        <v>8</v>
      </c>
      <c r="E407" s="40" t="s">
        <v>82</v>
      </c>
      <c r="F407" s="39">
        <v>1</v>
      </c>
      <c r="G407" s="41" t="s">
        <v>329</v>
      </c>
      <c r="H407" s="41" t="s">
        <v>111</v>
      </c>
      <c r="I407" s="39" t="s">
        <v>37</v>
      </c>
      <c r="J407" s="275"/>
    </row>
    <row r="408" spans="1:10" x14ac:dyDescent="0.3">
      <c r="A408" s="275"/>
      <c r="B408" s="149"/>
      <c r="C408" s="149"/>
      <c r="D408" s="39">
        <v>9</v>
      </c>
      <c r="E408" s="40" t="s">
        <v>83</v>
      </c>
      <c r="F408" s="39" t="s">
        <v>43</v>
      </c>
      <c r="G408" s="41" t="s">
        <v>102</v>
      </c>
      <c r="H408" s="41" t="s">
        <v>113</v>
      </c>
      <c r="I408" s="39" t="s">
        <v>37</v>
      </c>
      <c r="J408" s="275"/>
    </row>
    <row r="409" spans="1:10" x14ac:dyDescent="0.3">
      <c r="A409" s="275"/>
      <c r="B409" s="149"/>
      <c r="C409" s="149"/>
      <c r="D409" s="39">
        <v>10</v>
      </c>
      <c r="E409" s="40" t="s">
        <v>88</v>
      </c>
      <c r="F409" s="39" t="s">
        <v>97</v>
      </c>
      <c r="G409" s="41" t="s">
        <v>326</v>
      </c>
      <c r="H409" s="41" t="s">
        <v>105</v>
      </c>
      <c r="I409" s="39" t="s">
        <v>37</v>
      </c>
      <c r="J409" s="275"/>
    </row>
    <row r="410" spans="1:10" x14ac:dyDescent="0.3">
      <c r="A410" s="275"/>
      <c r="B410" s="149"/>
      <c r="C410" s="149"/>
      <c r="D410" s="39">
        <v>11</v>
      </c>
      <c r="E410" s="40" t="s">
        <v>84</v>
      </c>
      <c r="F410" s="43">
        <v>46032</v>
      </c>
      <c r="G410" s="41" t="s">
        <v>328</v>
      </c>
      <c r="H410" s="41" t="s">
        <v>110</v>
      </c>
      <c r="I410" s="39" t="s">
        <v>37</v>
      </c>
      <c r="J410" s="275"/>
    </row>
    <row r="411" spans="1:10" x14ac:dyDescent="0.3">
      <c r="A411" s="275"/>
      <c r="B411" s="149"/>
      <c r="C411" s="149"/>
      <c r="D411" s="39">
        <v>12</v>
      </c>
      <c r="E411" s="40" t="s">
        <v>85</v>
      </c>
      <c r="F411" s="39" t="s">
        <v>98</v>
      </c>
      <c r="G411" s="41" t="s">
        <v>330</v>
      </c>
      <c r="H411" s="41" t="s">
        <v>114</v>
      </c>
      <c r="I411" s="39" t="s">
        <v>37</v>
      </c>
      <c r="J411" s="275"/>
    </row>
    <row r="412" spans="1:10" x14ac:dyDescent="0.3">
      <c r="A412" s="275"/>
      <c r="B412" s="149"/>
      <c r="C412" s="149"/>
      <c r="D412" s="39">
        <v>13</v>
      </c>
      <c r="E412" s="40" t="s">
        <v>86</v>
      </c>
      <c r="F412" s="39" t="s">
        <v>150</v>
      </c>
      <c r="G412" s="41" t="s">
        <v>330</v>
      </c>
      <c r="H412" s="41" t="s">
        <v>112</v>
      </c>
      <c r="I412" s="39" t="s">
        <v>37</v>
      </c>
      <c r="J412" s="275"/>
    </row>
    <row r="413" spans="1:10" x14ac:dyDescent="0.3">
      <c r="A413" s="275"/>
      <c r="B413" s="149"/>
      <c r="C413" s="149"/>
      <c r="D413" s="39">
        <v>14</v>
      </c>
      <c r="E413" s="40" t="s">
        <v>87</v>
      </c>
      <c r="F413" s="39">
        <v>8691047788</v>
      </c>
      <c r="G413" s="41" t="s">
        <v>330</v>
      </c>
      <c r="H413" s="41" t="s">
        <v>115</v>
      </c>
      <c r="I413" s="39" t="s">
        <v>37</v>
      </c>
      <c r="J413" s="275"/>
    </row>
    <row r="414" spans="1:10" x14ac:dyDescent="0.3">
      <c r="A414" s="275"/>
      <c r="B414" s="149"/>
      <c r="C414" s="149"/>
      <c r="D414" s="39">
        <v>15</v>
      </c>
      <c r="E414" s="40" t="s">
        <v>89</v>
      </c>
      <c r="F414" s="39" t="s">
        <v>100</v>
      </c>
      <c r="G414" s="41" t="s">
        <v>326</v>
      </c>
      <c r="H414" s="41" t="s">
        <v>109</v>
      </c>
      <c r="I414" s="39" t="s">
        <v>37</v>
      </c>
      <c r="J414" s="275"/>
    </row>
    <row r="415" spans="1:10" x14ac:dyDescent="0.3">
      <c r="A415" s="276"/>
      <c r="B415" s="278"/>
      <c r="C415" s="278"/>
      <c r="D415" s="39">
        <v>16</v>
      </c>
      <c r="E415" s="40" t="s">
        <v>226</v>
      </c>
      <c r="F415" s="39" t="s">
        <v>43</v>
      </c>
      <c r="G415" s="41" t="s">
        <v>229</v>
      </c>
      <c r="H415" s="41" t="s">
        <v>228</v>
      </c>
      <c r="I415" s="39" t="s">
        <v>65</v>
      </c>
      <c r="J415" s="276"/>
    </row>
    <row r="417" spans="1:10" x14ac:dyDescent="0.3">
      <c r="A417" s="274" t="s">
        <v>242</v>
      </c>
      <c r="B417" s="277" t="s">
        <v>797</v>
      </c>
      <c r="C417" s="277" t="s">
        <v>224</v>
      </c>
      <c r="D417" s="36">
        <v>1</v>
      </c>
      <c r="E417" s="37" t="s">
        <v>75</v>
      </c>
      <c r="F417" s="36" t="s">
        <v>128</v>
      </c>
      <c r="G417" s="38" t="s">
        <v>326</v>
      </c>
      <c r="H417" s="38" t="s">
        <v>104</v>
      </c>
      <c r="I417" s="36" t="s">
        <v>37</v>
      </c>
      <c r="J417" s="274" t="s">
        <v>182</v>
      </c>
    </row>
    <row r="418" spans="1:10" x14ac:dyDescent="0.3">
      <c r="A418" s="275"/>
      <c r="B418" s="149"/>
      <c r="C418" s="149"/>
      <c r="D418" s="39">
        <v>2</v>
      </c>
      <c r="E418" s="40" t="s">
        <v>76</v>
      </c>
      <c r="F418" s="39" t="s">
        <v>128</v>
      </c>
      <c r="G418" s="41" t="s">
        <v>326</v>
      </c>
      <c r="H418" s="41" t="s">
        <v>105</v>
      </c>
      <c r="I418" s="39" t="s">
        <v>37</v>
      </c>
      <c r="J418" s="275"/>
    </row>
    <row r="419" spans="1:10" x14ac:dyDescent="0.3">
      <c r="A419" s="275"/>
      <c r="B419" s="149"/>
      <c r="C419" s="149"/>
      <c r="D419" s="39">
        <v>3</v>
      </c>
      <c r="E419" s="40" t="s">
        <v>77</v>
      </c>
      <c r="F419" s="39" t="s">
        <v>152</v>
      </c>
      <c r="G419" s="41" t="s">
        <v>327</v>
      </c>
      <c r="H419" s="41" t="s">
        <v>107</v>
      </c>
      <c r="I419" s="39" t="s">
        <v>37</v>
      </c>
      <c r="J419" s="275"/>
    </row>
    <row r="420" spans="1:10" x14ac:dyDescent="0.3">
      <c r="A420" s="275"/>
      <c r="B420" s="149"/>
      <c r="C420" s="149"/>
      <c r="D420" s="39">
        <v>4</v>
      </c>
      <c r="E420" s="40" t="s">
        <v>78</v>
      </c>
      <c r="F420" s="39"/>
      <c r="G420" s="41" t="s">
        <v>326</v>
      </c>
      <c r="H420" s="41" t="s">
        <v>108</v>
      </c>
      <c r="I420" s="39" t="s">
        <v>37</v>
      </c>
      <c r="J420" s="275"/>
    </row>
    <row r="421" spans="1:10" x14ac:dyDescent="0.3">
      <c r="A421" s="275"/>
      <c r="B421" s="149"/>
      <c r="C421" s="149"/>
      <c r="D421" s="39">
        <v>5</v>
      </c>
      <c r="E421" s="40" t="s">
        <v>79</v>
      </c>
      <c r="F421" s="39" t="s">
        <v>94</v>
      </c>
      <c r="G421" s="41" t="s">
        <v>326</v>
      </c>
      <c r="H421" s="41" t="s">
        <v>105</v>
      </c>
      <c r="I421" s="39" t="s">
        <v>37</v>
      </c>
      <c r="J421" s="275"/>
    </row>
    <row r="422" spans="1:10" x14ac:dyDescent="0.3">
      <c r="A422" s="275"/>
      <c r="B422" s="149"/>
      <c r="C422" s="149"/>
      <c r="D422" s="39">
        <v>6</v>
      </c>
      <c r="E422" s="40" t="s">
        <v>225</v>
      </c>
      <c r="F422" s="39" t="s">
        <v>95</v>
      </c>
      <c r="G422" s="41" t="s">
        <v>328</v>
      </c>
      <c r="H422" s="41" t="s">
        <v>110</v>
      </c>
      <c r="I422" s="39" t="s">
        <v>37</v>
      </c>
      <c r="J422" s="275"/>
    </row>
    <row r="423" spans="1:10" x14ac:dyDescent="0.25">
      <c r="A423" s="275"/>
      <c r="B423" s="149"/>
      <c r="C423" s="149"/>
      <c r="D423" s="39">
        <v>7</v>
      </c>
      <c r="E423" s="40" t="s">
        <v>81</v>
      </c>
      <c r="F423" s="42" t="s">
        <v>96</v>
      </c>
      <c r="G423" s="41" t="s">
        <v>326</v>
      </c>
      <c r="H423" s="41" t="s">
        <v>106</v>
      </c>
      <c r="I423" s="39" t="s">
        <v>37</v>
      </c>
      <c r="J423" s="275"/>
    </row>
    <row r="424" spans="1:10" x14ac:dyDescent="0.3">
      <c r="A424" s="275"/>
      <c r="B424" s="149"/>
      <c r="C424" s="149"/>
      <c r="D424" s="39">
        <v>8</v>
      </c>
      <c r="E424" s="40" t="s">
        <v>82</v>
      </c>
      <c r="F424" s="39">
        <v>1</v>
      </c>
      <c r="G424" s="41" t="s">
        <v>329</v>
      </c>
      <c r="H424" s="41" t="s">
        <v>111</v>
      </c>
      <c r="I424" s="39" t="s">
        <v>37</v>
      </c>
      <c r="J424" s="275"/>
    </row>
    <row r="425" spans="1:10" x14ac:dyDescent="0.3">
      <c r="A425" s="275"/>
      <c r="B425" s="149"/>
      <c r="C425" s="149"/>
      <c r="D425" s="39">
        <v>9</v>
      </c>
      <c r="E425" s="40" t="s">
        <v>83</v>
      </c>
      <c r="F425" s="39" t="s">
        <v>43</v>
      </c>
      <c r="G425" s="41" t="s">
        <v>102</v>
      </c>
      <c r="H425" s="41" t="s">
        <v>113</v>
      </c>
      <c r="I425" s="39" t="s">
        <v>37</v>
      </c>
      <c r="J425" s="275"/>
    </row>
    <row r="426" spans="1:10" x14ac:dyDescent="0.3">
      <c r="A426" s="275"/>
      <c r="B426" s="149"/>
      <c r="C426" s="149"/>
      <c r="D426" s="39">
        <v>10</v>
      </c>
      <c r="E426" s="40" t="s">
        <v>88</v>
      </c>
      <c r="F426" s="39" t="s">
        <v>97</v>
      </c>
      <c r="G426" s="41" t="s">
        <v>326</v>
      </c>
      <c r="H426" s="41" t="s">
        <v>105</v>
      </c>
      <c r="I426" s="39" t="s">
        <v>37</v>
      </c>
      <c r="J426" s="275"/>
    </row>
    <row r="427" spans="1:10" x14ac:dyDescent="0.3">
      <c r="A427" s="275"/>
      <c r="B427" s="149"/>
      <c r="C427" s="149"/>
      <c r="D427" s="39">
        <v>11</v>
      </c>
      <c r="E427" s="40" t="s">
        <v>84</v>
      </c>
      <c r="F427" s="43">
        <v>46032</v>
      </c>
      <c r="G427" s="41" t="s">
        <v>328</v>
      </c>
      <c r="H427" s="41" t="s">
        <v>110</v>
      </c>
      <c r="I427" s="39" t="s">
        <v>37</v>
      </c>
      <c r="J427" s="275"/>
    </row>
    <row r="428" spans="1:10" x14ac:dyDescent="0.3">
      <c r="A428" s="275"/>
      <c r="B428" s="149"/>
      <c r="C428" s="149"/>
      <c r="D428" s="39">
        <v>12</v>
      </c>
      <c r="E428" s="40" t="s">
        <v>85</v>
      </c>
      <c r="F428" s="39" t="s">
        <v>98</v>
      </c>
      <c r="G428" s="41" t="s">
        <v>330</v>
      </c>
      <c r="H428" s="41" t="s">
        <v>114</v>
      </c>
      <c r="I428" s="39" t="s">
        <v>37</v>
      </c>
      <c r="J428" s="275"/>
    </row>
    <row r="429" spans="1:10" x14ac:dyDescent="0.3">
      <c r="A429" s="275"/>
      <c r="B429" s="149"/>
      <c r="C429" s="149"/>
      <c r="D429" s="39">
        <v>13</v>
      </c>
      <c r="E429" s="40" t="s">
        <v>86</v>
      </c>
      <c r="F429" s="39" t="s">
        <v>99</v>
      </c>
      <c r="G429" s="41" t="s">
        <v>330</v>
      </c>
      <c r="H429" s="41" t="s">
        <v>112</v>
      </c>
      <c r="I429" s="39" t="s">
        <v>37</v>
      </c>
      <c r="J429" s="275"/>
    </row>
    <row r="430" spans="1:10" x14ac:dyDescent="0.3">
      <c r="A430" s="275"/>
      <c r="B430" s="149"/>
      <c r="C430" s="149"/>
      <c r="D430" s="39">
        <v>14</v>
      </c>
      <c r="E430" s="40" t="s">
        <v>87</v>
      </c>
      <c r="F430" s="39" t="s">
        <v>184</v>
      </c>
      <c r="G430" s="41" t="s">
        <v>330</v>
      </c>
      <c r="H430" s="41" t="s">
        <v>115</v>
      </c>
      <c r="I430" s="39" t="s">
        <v>37</v>
      </c>
      <c r="J430" s="275"/>
    </row>
    <row r="431" spans="1:10" x14ac:dyDescent="0.3">
      <c r="A431" s="275"/>
      <c r="B431" s="149"/>
      <c r="C431" s="149"/>
      <c r="D431" s="39">
        <v>15</v>
      </c>
      <c r="E431" s="40" t="s">
        <v>89</v>
      </c>
      <c r="F431" s="39" t="s">
        <v>100</v>
      </c>
      <c r="G431" s="41" t="s">
        <v>326</v>
      </c>
      <c r="H431" s="41" t="s">
        <v>109</v>
      </c>
      <c r="I431" s="39" t="s">
        <v>37</v>
      </c>
      <c r="J431" s="275"/>
    </row>
    <row r="432" spans="1:10" x14ac:dyDescent="0.3">
      <c r="A432" s="276"/>
      <c r="B432" s="278"/>
      <c r="C432" s="278"/>
      <c r="D432" s="39">
        <v>16</v>
      </c>
      <c r="E432" s="40" t="s">
        <v>226</v>
      </c>
      <c r="F432" s="39" t="s">
        <v>43</v>
      </c>
      <c r="G432" s="41" t="s">
        <v>229</v>
      </c>
      <c r="H432" s="41" t="s">
        <v>228</v>
      </c>
      <c r="I432" s="39" t="s">
        <v>182</v>
      </c>
      <c r="J432" s="276"/>
    </row>
    <row r="434" spans="1:10" x14ac:dyDescent="0.3">
      <c r="A434" s="271" t="s">
        <v>243</v>
      </c>
      <c r="B434" s="161" t="s">
        <v>798</v>
      </c>
      <c r="C434" s="161" t="s">
        <v>224</v>
      </c>
      <c r="D434" s="14">
        <v>1</v>
      </c>
      <c r="E434" s="4" t="s">
        <v>75</v>
      </c>
      <c r="F434" s="14" t="s">
        <v>128</v>
      </c>
      <c r="G434" s="5" t="s">
        <v>326</v>
      </c>
      <c r="H434" s="5" t="s">
        <v>104</v>
      </c>
      <c r="I434" s="14" t="s">
        <v>37</v>
      </c>
      <c r="J434" s="271" t="s">
        <v>182</v>
      </c>
    </row>
    <row r="435" spans="1:10" x14ac:dyDescent="0.3">
      <c r="A435" s="271"/>
      <c r="B435" s="161"/>
      <c r="C435" s="161"/>
      <c r="D435" s="14">
        <v>2</v>
      </c>
      <c r="E435" s="4" t="s">
        <v>76</v>
      </c>
      <c r="F435" s="14" t="str">
        <f>F434</f>
        <v>Money Maker EUR</v>
      </c>
      <c r="G435" s="5" t="s">
        <v>326</v>
      </c>
      <c r="H435" s="5" t="s">
        <v>105</v>
      </c>
      <c r="I435" s="14" t="s">
        <v>37</v>
      </c>
      <c r="J435" s="271"/>
    </row>
    <row r="436" spans="1:10" x14ac:dyDescent="0.3">
      <c r="A436" s="271"/>
      <c r="B436" s="161"/>
      <c r="C436" s="161"/>
      <c r="D436" s="14">
        <v>3</v>
      </c>
      <c r="E436" s="4" t="s">
        <v>77</v>
      </c>
      <c r="F436" s="14" t="s">
        <v>180</v>
      </c>
      <c r="G436" s="5" t="s">
        <v>327</v>
      </c>
      <c r="H436" s="5" t="s">
        <v>107</v>
      </c>
      <c r="I436" s="14" t="s">
        <v>37</v>
      </c>
      <c r="J436" s="271"/>
    </row>
    <row r="437" spans="1:10" x14ac:dyDescent="0.3">
      <c r="A437" s="271"/>
      <c r="B437" s="161"/>
      <c r="C437" s="161"/>
      <c r="D437" s="14">
        <v>4</v>
      </c>
      <c r="E437" s="4" t="s">
        <v>78</v>
      </c>
      <c r="F437" s="14" t="s">
        <v>157</v>
      </c>
      <c r="G437" s="5" t="s">
        <v>326</v>
      </c>
      <c r="H437" s="5" t="s">
        <v>108</v>
      </c>
      <c r="I437" s="14" t="s">
        <v>37</v>
      </c>
      <c r="J437" s="271"/>
    </row>
    <row r="438" spans="1:10" x14ac:dyDescent="0.3">
      <c r="A438" s="271"/>
      <c r="B438" s="161"/>
      <c r="C438" s="161"/>
      <c r="D438" s="14">
        <v>5</v>
      </c>
      <c r="E438" s="4" t="s">
        <v>79</v>
      </c>
      <c r="F438" s="14" t="s">
        <v>94</v>
      </c>
      <c r="G438" s="5" t="s">
        <v>326</v>
      </c>
      <c r="H438" s="5" t="s">
        <v>105</v>
      </c>
      <c r="I438" s="14" t="s">
        <v>37</v>
      </c>
      <c r="J438" s="271"/>
    </row>
    <row r="439" spans="1:10" x14ac:dyDescent="0.3">
      <c r="A439" s="271"/>
      <c r="B439" s="161"/>
      <c r="C439" s="161"/>
      <c r="D439" s="14">
        <v>6</v>
      </c>
      <c r="E439" s="4" t="s">
        <v>225</v>
      </c>
      <c r="F439" s="14" t="s">
        <v>95</v>
      </c>
      <c r="G439" s="5" t="s">
        <v>328</v>
      </c>
      <c r="H439" s="5" t="s">
        <v>110</v>
      </c>
      <c r="I439" s="14" t="s">
        <v>37</v>
      </c>
      <c r="J439" s="271"/>
    </row>
    <row r="440" spans="1:10" x14ac:dyDescent="0.25">
      <c r="A440" s="271"/>
      <c r="B440" s="161"/>
      <c r="C440" s="161"/>
      <c r="D440" s="14">
        <v>7</v>
      </c>
      <c r="E440" s="4" t="s">
        <v>81</v>
      </c>
      <c r="F440" s="33" t="s">
        <v>166</v>
      </c>
      <c r="G440" s="5" t="s">
        <v>326</v>
      </c>
      <c r="H440" s="5" t="s">
        <v>106</v>
      </c>
      <c r="I440" s="14" t="s">
        <v>37</v>
      </c>
      <c r="J440" s="271"/>
    </row>
    <row r="441" spans="1:10" x14ac:dyDescent="0.3">
      <c r="A441" s="271"/>
      <c r="B441" s="161"/>
      <c r="C441" s="161"/>
      <c r="D441" s="14">
        <v>8</v>
      </c>
      <c r="E441" s="4" t="s">
        <v>82</v>
      </c>
      <c r="F441" s="14" t="s">
        <v>181</v>
      </c>
      <c r="G441" s="5" t="s">
        <v>329</v>
      </c>
      <c r="H441" s="5" t="s">
        <v>111</v>
      </c>
      <c r="I441" s="14" t="s">
        <v>37</v>
      </c>
      <c r="J441" s="271"/>
    </row>
    <row r="442" spans="1:10" x14ac:dyDescent="0.3">
      <c r="A442" s="271"/>
      <c r="B442" s="161"/>
      <c r="C442" s="161"/>
      <c r="D442" s="14">
        <v>9</v>
      </c>
      <c r="E442" s="4" t="s">
        <v>83</v>
      </c>
      <c r="F442" s="19" t="s">
        <v>43</v>
      </c>
      <c r="G442" s="34" t="s">
        <v>102</v>
      </c>
      <c r="H442" s="5" t="s">
        <v>113</v>
      </c>
      <c r="I442" s="14" t="s">
        <v>37</v>
      </c>
      <c r="J442" s="271"/>
    </row>
    <row r="443" spans="1:10" x14ac:dyDescent="0.3">
      <c r="A443" s="271"/>
      <c r="B443" s="161"/>
      <c r="C443" s="161"/>
      <c r="D443" s="14">
        <v>10</v>
      </c>
      <c r="E443" s="4" t="s">
        <v>88</v>
      </c>
      <c r="F443" s="14" t="s">
        <v>174</v>
      </c>
      <c r="G443" s="5" t="s">
        <v>326</v>
      </c>
      <c r="H443" s="5" t="s">
        <v>105</v>
      </c>
      <c r="I443" s="14" t="s">
        <v>37</v>
      </c>
      <c r="J443" s="271"/>
    </row>
    <row r="444" spans="1:10" x14ac:dyDescent="0.3">
      <c r="A444" s="271"/>
      <c r="B444" s="161"/>
      <c r="C444" s="161"/>
      <c r="D444" s="14">
        <v>11</v>
      </c>
      <c r="E444" s="4" t="s">
        <v>84</v>
      </c>
      <c r="F444" s="35">
        <v>46032</v>
      </c>
      <c r="G444" s="5" t="s">
        <v>328</v>
      </c>
      <c r="H444" s="5" t="s">
        <v>110</v>
      </c>
      <c r="I444" s="14" t="s">
        <v>37</v>
      </c>
      <c r="J444" s="271"/>
    </row>
    <row r="445" spans="1:10" x14ac:dyDescent="0.3">
      <c r="A445" s="271"/>
      <c r="B445" s="161"/>
      <c r="C445" s="161"/>
      <c r="D445" s="14">
        <v>12</v>
      </c>
      <c r="E445" s="4" t="s">
        <v>85</v>
      </c>
      <c r="F445" s="14" t="str">
        <f>IF(F434="Donald Easter","Donal Easter LLC",IF(F434="Aspire Intl  ","Aspire International",IF(F434="Money Maker EUR","MoneyMaker Ltd",IF(F434="TanishQ Entrp","TanishQ Enterpresis","NA"))))</f>
        <v>MoneyMaker Ltd</v>
      </c>
      <c r="G445" s="5" t="s">
        <v>330</v>
      </c>
      <c r="H445" s="5" t="s">
        <v>114</v>
      </c>
      <c r="I445" s="14" t="s">
        <v>37</v>
      </c>
      <c r="J445" s="271"/>
    </row>
    <row r="446" spans="1:10" x14ac:dyDescent="0.3">
      <c r="A446" s="271"/>
      <c r="B446" s="161"/>
      <c r="C446" s="161"/>
      <c r="D446" s="14">
        <v>13</v>
      </c>
      <c r="E446" s="4" t="s">
        <v>86</v>
      </c>
      <c r="F446" s="14" t="s">
        <v>99</v>
      </c>
      <c r="G446" s="5" t="s">
        <v>330</v>
      </c>
      <c r="H446" s="5" t="s">
        <v>112</v>
      </c>
      <c r="I446" s="14" t="s">
        <v>37</v>
      </c>
      <c r="J446" s="271"/>
    </row>
    <row r="447" spans="1:10" x14ac:dyDescent="0.3">
      <c r="A447" s="271"/>
      <c r="B447" s="161"/>
      <c r="C447" s="161"/>
      <c r="D447" s="14">
        <v>14</v>
      </c>
      <c r="E447" s="4" t="s">
        <v>87</v>
      </c>
      <c r="F447" s="14">
        <v>8691047788</v>
      </c>
      <c r="G447" s="5" t="s">
        <v>330</v>
      </c>
      <c r="H447" s="5" t="s">
        <v>115</v>
      </c>
      <c r="I447" s="14" t="s">
        <v>37</v>
      </c>
      <c r="J447" s="271"/>
    </row>
    <row r="448" spans="1:10" x14ac:dyDescent="0.3">
      <c r="A448" s="271"/>
      <c r="B448" s="161"/>
      <c r="C448" s="161"/>
      <c r="D448" s="14">
        <v>15</v>
      </c>
      <c r="E448" s="4" t="s">
        <v>89</v>
      </c>
      <c r="F448" s="14" t="s">
        <v>121</v>
      </c>
      <c r="G448" s="5" t="s">
        <v>326</v>
      </c>
      <c r="H448" s="5" t="s">
        <v>109</v>
      </c>
      <c r="I448" s="14" t="s">
        <v>37</v>
      </c>
      <c r="J448" s="271"/>
    </row>
    <row r="449" spans="1:10" x14ac:dyDescent="0.3">
      <c r="A449" s="271"/>
      <c r="B449" s="161"/>
      <c r="C449" s="161"/>
      <c r="D449" s="14">
        <v>16</v>
      </c>
      <c r="E449" s="4" t="s">
        <v>226</v>
      </c>
      <c r="F449" s="19" t="s">
        <v>43</v>
      </c>
      <c r="G449" s="5" t="s">
        <v>229</v>
      </c>
      <c r="H449" s="5" t="s">
        <v>228</v>
      </c>
      <c r="I449" s="14" t="s">
        <v>65</v>
      </c>
      <c r="J449" s="271"/>
    </row>
    <row r="452" spans="1:10" x14ac:dyDescent="0.3">
      <c r="A452" s="271" t="s">
        <v>244</v>
      </c>
      <c r="B452" s="161" t="s">
        <v>799</v>
      </c>
      <c r="C452" s="161" t="s">
        <v>224</v>
      </c>
      <c r="D452" s="14">
        <v>1</v>
      </c>
      <c r="E452" s="4" t="s">
        <v>75</v>
      </c>
      <c r="F452" s="14" t="s">
        <v>139</v>
      </c>
      <c r="G452" s="5" t="s">
        <v>326</v>
      </c>
      <c r="H452" s="5" t="s">
        <v>104</v>
      </c>
      <c r="I452" s="14" t="s">
        <v>37</v>
      </c>
      <c r="J452" s="271" t="s">
        <v>182</v>
      </c>
    </row>
    <row r="453" spans="1:10" x14ac:dyDescent="0.3">
      <c r="A453" s="271"/>
      <c r="B453" s="161"/>
      <c r="C453" s="161"/>
      <c r="D453" s="14">
        <v>2</v>
      </c>
      <c r="E453" s="4" t="s">
        <v>76</v>
      </c>
      <c r="F453" s="14" t="str">
        <f>F452</f>
        <v>TanishQ Entrp</v>
      </c>
      <c r="G453" s="5" t="s">
        <v>326</v>
      </c>
      <c r="H453" s="5" t="s">
        <v>105</v>
      </c>
      <c r="I453" s="14" t="s">
        <v>37</v>
      </c>
      <c r="J453" s="271"/>
    </row>
    <row r="454" spans="1:10" x14ac:dyDescent="0.3">
      <c r="A454" s="271"/>
      <c r="B454" s="161"/>
      <c r="C454" s="161"/>
      <c r="D454" s="14">
        <v>3</v>
      </c>
      <c r="E454" s="4" t="s">
        <v>77</v>
      </c>
      <c r="F454" s="14" t="s">
        <v>185</v>
      </c>
      <c r="G454" s="5" t="s">
        <v>327</v>
      </c>
      <c r="H454" s="5" t="s">
        <v>107</v>
      </c>
      <c r="I454" s="14" t="s">
        <v>37</v>
      </c>
      <c r="J454" s="271"/>
    </row>
    <row r="455" spans="1:10" x14ac:dyDescent="0.3">
      <c r="A455" s="271"/>
      <c r="B455" s="161"/>
      <c r="C455" s="161"/>
      <c r="D455" s="14">
        <v>4</v>
      </c>
      <c r="E455" s="4" t="s">
        <v>78</v>
      </c>
      <c r="F455" s="14" t="s">
        <v>157</v>
      </c>
      <c r="G455" s="5" t="s">
        <v>326</v>
      </c>
      <c r="H455" s="5" t="s">
        <v>108</v>
      </c>
      <c r="I455" s="14" t="s">
        <v>37</v>
      </c>
      <c r="J455" s="271"/>
    </row>
    <row r="456" spans="1:10" x14ac:dyDescent="0.3">
      <c r="A456" s="271"/>
      <c r="B456" s="161"/>
      <c r="C456" s="161"/>
      <c r="D456" s="14">
        <v>5</v>
      </c>
      <c r="E456" s="4" t="s">
        <v>79</v>
      </c>
      <c r="F456" s="14" t="s">
        <v>94</v>
      </c>
      <c r="G456" s="5" t="s">
        <v>326</v>
      </c>
      <c r="H456" s="5" t="s">
        <v>105</v>
      </c>
      <c r="I456" s="14" t="s">
        <v>37</v>
      </c>
      <c r="J456" s="271"/>
    </row>
    <row r="457" spans="1:10" x14ac:dyDescent="0.3">
      <c r="A457" s="271"/>
      <c r="B457" s="161"/>
      <c r="C457" s="161"/>
      <c r="D457" s="14">
        <v>6</v>
      </c>
      <c r="E457" s="4" t="s">
        <v>225</v>
      </c>
      <c r="F457" s="14" t="s">
        <v>95</v>
      </c>
      <c r="G457" s="5" t="s">
        <v>328</v>
      </c>
      <c r="H457" s="5" t="s">
        <v>110</v>
      </c>
      <c r="I457" s="14" t="s">
        <v>37</v>
      </c>
      <c r="J457" s="271"/>
    </row>
    <row r="458" spans="1:10" x14ac:dyDescent="0.25">
      <c r="A458" s="271"/>
      <c r="B458" s="161"/>
      <c r="C458" s="161"/>
      <c r="D458" s="14">
        <v>7</v>
      </c>
      <c r="E458" s="4" t="s">
        <v>81</v>
      </c>
      <c r="F458" s="33" t="s">
        <v>165</v>
      </c>
      <c r="G458" s="5" t="s">
        <v>326</v>
      </c>
      <c r="H458" s="5" t="s">
        <v>106</v>
      </c>
      <c r="I458" s="14" t="s">
        <v>37</v>
      </c>
      <c r="J458" s="271"/>
    </row>
    <row r="459" spans="1:10" x14ac:dyDescent="0.3">
      <c r="A459" s="271"/>
      <c r="B459" s="161"/>
      <c r="C459" s="161"/>
      <c r="D459" s="14">
        <v>8</v>
      </c>
      <c r="E459" s="4" t="s">
        <v>82</v>
      </c>
      <c r="F459" s="14">
        <v>2</v>
      </c>
      <c r="G459" s="5" t="s">
        <v>329</v>
      </c>
      <c r="H459" s="5" t="s">
        <v>111</v>
      </c>
      <c r="I459" s="14" t="s">
        <v>37</v>
      </c>
      <c r="J459" s="271"/>
    </row>
    <row r="460" spans="1:10" x14ac:dyDescent="0.3">
      <c r="A460" s="271"/>
      <c r="B460" s="161"/>
      <c r="C460" s="161"/>
      <c r="D460" s="14">
        <v>9</v>
      </c>
      <c r="E460" s="4" t="s">
        <v>186</v>
      </c>
      <c r="F460" s="14" t="s">
        <v>187</v>
      </c>
      <c r="G460" s="5" t="s">
        <v>188</v>
      </c>
      <c r="H460" s="5" t="s">
        <v>189</v>
      </c>
      <c r="I460" s="14" t="s">
        <v>65</v>
      </c>
      <c r="J460" s="271"/>
    </row>
    <row r="461" spans="1:10" x14ac:dyDescent="0.3">
      <c r="A461" s="271"/>
      <c r="B461" s="161"/>
      <c r="C461" s="161"/>
      <c r="D461" s="14">
        <v>10</v>
      </c>
      <c r="E461" s="4" t="s">
        <v>83</v>
      </c>
      <c r="F461" s="19" t="s">
        <v>43</v>
      </c>
      <c r="G461" s="34" t="s">
        <v>102</v>
      </c>
      <c r="H461" s="5" t="s">
        <v>113</v>
      </c>
      <c r="I461" s="14" t="s">
        <v>37</v>
      </c>
      <c r="J461" s="271"/>
    </row>
    <row r="462" spans="1:10" x14ac:dyDescent="0.3">
      <c r="A462" s="271"/>
      <c r="B462" s="161"/>
      <c r="C462" s="161"/>
      <c r="D462" s="14">
        <v>11</v>
      </c>
      <c r="E462" s="4" t="s">
        <v>88</v>
      </c>
      <c r="F462" s="14" t="s">
        <v>97</v>
      </c>
      <c r="G462" s="5" t="s">
        <v>326</v>
      </c>
      <c r="H462" s="5" t="s">
        <v>105</v>
      </c>
      <c r="I462" s="14" t="s">
        <v>37</v>
      </c>
      <c r="J462" s="271"/>
    </row>
    <row r="463" spans="1:10" x14ac:dyDescent="0.3">
      <c r="A463" s="271"/>
      <c r="B463" s="161"/>
      <c r="C463" s="161"/>
      <c r="D463" s="14">
        <v>12</v>
      </c>
      <c r="E463" s="4" t="s">
        <v>84</v>
      </c>
      <c r="F463" s="35">
        <v>46032</v>
      </c>
      <c r="G463" s="5" t="s">
        <v>328</v>
      </c>
      <c r="H463" s="5" t="s">
        <v>110</v>
      </c>
      <c r="I463" s="14" t="s">
        <v>37</v>
      </c>
      <c r="J463" s="271"/>
    </row>
    <row r="464" spans="1:10" x14ac:dyDescent="0.3">
      <c r="A464" s="271"/>
      <c r="B464" s="161"/>
      <c r="C464" s="161"/>
      <c r="D464" s="14">
        <v>13</v>
      </c>
      <c r="E464" s="4" t="s">
        <v>85</v>
      </c>
      <c r="F464" s="14" t="str">
        <f>IF(F452="Donald Easter","Donal Easter LLC",IF(F452="Aspire Intl  ","Aspire International",IF(F452="Money Maker EUR","MoneyMaker Ltd",IF(F452="TanishQ Entrp","TanishQ Enterpresis","NA"))))</f>
        <v>TanishQ Enterpresis</v>
      </c>
      <c r="G464" s="5" t="s">
        <v>330</v>
      </c>
      <c r="H464" s="5" t="s">
        <v>114</v>
      </c>
      <c r="I464" s="14" t="s">
        <v>37</v>
      </c>
      <c r="J464" s="271"/>
    </row>
    <row r="465" spans="1:10" x14ac:dyDescent="0.3">
      <c r="A465" s="271"/>
      <c r="B465" s="161"/>
      <c r="C465" s="161"/>
      <c r="D465" s="14">
        <v>14</v>
      </c>
      <c r="E465" s="4" t="s">
        <v>86</v>
      </c>
      <c r="F465" s="14" t="s">
        <v>190</v>
      </c>
      <c r="G465" s="5" t="s">
        <v>330</v>
      </c>
      <c r="H465" s="5" t="s">
        <v>112</v>
      </c>
      <c r="I465" s="14" t="s">
        <v>37</v>
      </c>
      <c r="J465" s="271"/>
    </row>
    <row r="466" spans="1:10" x14ac:dyDescent="0.3">
      <c r="A466" s="271"/>
      <c r="B466" s="161"/>
      <c r="C466" s="161"/>
      <c r="D466" s="14">
        <v>15</v>
      </c>
      <c r="E466" s="4" t="s">
        <v>87</v>
      </c>
      <c r="F466" s="14">
        <v>8691047788</v>
      </c>
      <c r="G466" s="5" t="s">
        <v>330</v>
      </c>
      <c r="H466" s="5" t="s">
        <v>115</v>
      </c>
      <c r="I466" s="14" t="s">
        <v>37</v>
      </c>
      <c r="J466" s="271"/>
    </row>
    <row r="467" spans="1:10" x14ac:dyDescent="0.3">
      <c r="A467" s="271"/>
      <c r="B467" s="161"/>
      <c r="C467" s="161"/>
      <c r="D467" s="14">
        <v>16</v>
      </c>
      <c r="E467" s="4" t="s">
        <v>89</v>
      </c>
      <c r="F467" s="14" t="s">
        <v>178</v>
      </c>
      <c r="G467" s="5" t="s">
        <v>326</v>
      </c>
      <c r="H467" s="5" t="s">
        <v>109</v>
      </c>
      <c r="I467" s="14" t="s">
        <v>37</v>
      </c>
      <c r="J467" s="271"/>
    </row>
    <row r="468" spans="1:10" x14ac:dyDescent="0.3">
      <c r="A468" s="271"/>
      <c r="B468" s="161"/>
      <c r="C468" s="161"/>
      <c r="D468" s="14">
        <v>17</v>
      </c>
      <c r="E468" s="4" t="s">
        <v>226</v>
      </c>
      <c r="F468" s="19" t="s">
        <v>43</v>
      </c>
      <c r="G468" s="5" t="s">
        <v>229</v>
      </c>
      <c r="H468" s="5" t="s">
        <v>228</v>
      </c>
      <c r="I468" s="14" t="s">
        <v>65</v>
      </c>
      <c r="J468" s="271"/>
    </row>
    <row r="470" spans="1:10" x14ac:dyDescent="0.3">
      <c r="A470" s="271" t="s">
        <v>245</v>
      </c>
      <c r="B470" s="161" t="s">
        <v>800</v>
      </c>
      <c r="C470" s="161" t="s">
        <v>224</v>
      </c>
      <c r="D470" s="14">
        <v>1</v>
      </c>
      <c r="E470" s="4" t="s">
        <v>75</v>
      </c>
      <c r="F470" s="14" t="s">
        <v>153</v>
      </c>
      <c r="G470" s="5" t="s">
        <v>326</v>
      </c>
      <c r="H470" s="5" t="s">
        <v>104</v>
      </c>
      <c r="I470" s="14" t="s">
        <v>37</v>
      </c>
      <c r="J470" s="271" t="s">
        <v>182</v>
      </c>
    </row>
    <row r="471" spans="1:10" x14ac:dyDescent="0.3">
      <c r="A471" s="271"/>
      <c r="B471" s="161"/>
      <c r="C471" s="161"/>
      <c r="D471" s="14">
        <v>2</v>
      </c>
      <c r="E471" s="4" t="s">
        <v>76</v>
      </c>
      <c r="F471" s="14" t="str">
        <f>F470</f>
        <v>Donald Easter</v>
      </c>
      <c r="G471" s="5" t="s">
        <v>326</v>
      </c>
      <c r="H471" s="5" t="s">
        <v>105</v>
      </c>
      <c r="I471" s="14" t="s">
        <v>37</v>
      </c>
      <c r="J471" s="271"/>
    </row>
    <row r="472" spans="1:10" x14ac:dyDescent="0.3">
      <c r="A472" s="271"/>
      <c r="B472" s="161"/>
      <c r="C472" s="161"/>
      <c r="D472" s="14">
        <v>3</v>
      </c>
      <c r="E472" s="4" t="s">
        <v>77</v>
      </c>
      <c r="F472" s="14" t="s">
        <v>180</v>
      </c>
      <c r="G472" s="5" t="s">
        <v>327</v>
      </c>
      <c r="H472" s="5" t="s">
        <v>107</v>
      </c>
      <c r="I472" s="14" t="s">
        <v>37</v>
      </c>
      <c r="J472" s="271"/>
    </row>
    <row r="473" spans="1:10" x14ac:dyDescent="0.3">
      <c r="A473" s="271"/>
      <c r="B473" s="161"/>
      <c r="C473" s="161"/>
      <c r="D473" s="14">
        <v>4</v>
      </c>
      <c r="E473" s="4" t="s">
        <v>78</v>
      </c>
      <c r="F473" s="14" t="s">
        <v>160</v>
      </c>
      <c r="G473" s="5" t="s">
        <v>326</v>
      </c>
      <c r="H473" s="5" t="s">
        <v>108</v>
      </c>
      <c r="I473" s="14" t="s">
        <v>37</v>
      </c>
      <c r="J473" s="271"/>
    </row>
    <row r="474" spans="1:10" x14ac:dyDescent="0.3">
      <c r="A474" s="271"/>
      <c r="B474" s="161"/>
      <c r="C474" s="161"/>
      <c r="D474" s="14">
        <v>5</v>
      </c>
      <c r="E474" s="4" t="s">
        <v>79</v>
      </c>
      <c r="F474" s="14" t="s">
        <v>94</v>
      </c>
      <c r="G474" s="5" t="s">
        <v>326</v>
      </c>
      <c r="H474" s="5" t="s">
        <v>105</v>
      </c>
      <c r="I474" s="14" t="s">
        <v>37</v>
      </c>
      <c r="J474" s="271"/>
    </row>
    <row r="475" spans="1:10" x14ac:dyDescent="0.3">
      <c r="A475" s="271"/>
      <c r="B475" s="161"/>
      <c r="C475" s="161"/>
      <c r="D475" s="14">
        <v>6</v>
      </c>
      <c r="E475" s="4" t="s">
        <v>225</v>
      </c>
      <c r="F475" s="14" t="s">
        <v>95</v>
      </c>
      <c r="G475" s="5" t="s">
        <v>328</v>
      </c>
      <c r="H475" s="5" t="s">
        <v>110</v>
      </c>
      <c r="I475" s="14" t="s">
        <v>37</v>
      </c>
      <c r="J475" s="271"/>
    </row>
    <row r="476" spans="1:10" x14ac:dyDescent="0.25">
      <c r="A476" s="271"/>
      <c r="B476" s="161"/>
      <c r="C476" s="161"/>
      <c r="D476" s="14">
        <v>7</v>
      </c>
      <c r="E476" s="4" t="s">
        <v>81</v>
      </c>
      <c r="F476" s="33" t="s">
        <v>167</v>
      </c>
      <c r="G476" s="5" t="s">
        <v>326</v>
      </c>
      <c r="H476" s="5" t="s">
        <v>106</v>
      </c>
      <c r="I476" s="14" t="s">
        <v>37</v>
      </c>
      <c r="J476" s="271"/>
    </row>
    <row r="477" spans="1:10" x14ac:dyDescent="0.3">
      <c r="A477" s="271"/>
      <c r="B477" s="161"/>
      <c r="C477" s="161"/>
      <c r="D477" s="14">
        <v>8</v>
      </c>
      <c r="E477" s="4" t="s">
        <v>82</v>
      </c>
      <c r="F477" s="14">
        <v>3</v>
      </c>
      <c r="G477" s="5" t="s">
        <v>329</v>
      </c>
      <c r="H477" s="5" t="s">
        <v>111</v>
      </c>
      <c r="I477" s="14" t="s">
        <v>37</v>
      </c>
      <c r="J477" s="271"/>
    </row>
    <row r="478" spans="1:10" x14ac:dyDescent="0.3">
      <c r="A478" s="271"/>
      <c r="B478" s="161"/>
      <c r="C478" s="161"/>
      <c r="D478" s="14">
        <v>9</v>
      </c>
      <c r="E478" s="4" t="s">
        <v>83</v>
      </c>
      <c r="F478" s="19" t="s">
        <v>43</v>
      </c>
      <c r="G478" s="34" t="s">
        <v>102</v>
      </c>
      <c r="H478" s="5" t="s">
        <v>113</v>
      </c>
      <c r="I478" s="14" t="s">
        <v>37</v>
      </c>
      <c r="J478" s="271"/>
    </row>
    <row r="479" spans="1:10" x14ac:dyDescent="0.3">
      <c r="A479" s="271"/>
      <c r="B479" s="161"/>
      <c r="C479" s="161"/>
      <c r="D479" s="14">
        <v>10</v>
      </c>
      <c r="E479" s="4" t="s">
        <v>193</v>
      </c>
      <c r="F479" s="19" t="s">
        <v>194</v>
      </c>
      <c r="G479" s="34" t="s">
        <v>330</v>
      </c>
      <c r="H479" s="5" t="s">
        <v>940</v>
      </c>
      <c r="I479" s="14" t="s">
        <v>37</v>
      </c>
      <c r="J479" s="271"/>
    </row>
    <row r="480" spans="1:10" x14ac:dyDescent="0.3">
      <c r="A480" s="271"/>
      <c r="B480" s="161"/>
      <c r="C480" s="161"/>
      <c r="D480" s="14">
        <v>11</v>
      </c>
      <c r="E480" s="4" t="s">
        <v>195</v>
      </c>
      <c r="F480" s="19" t="s">
        <v>43</v>
      </c>
      <c r="G480" s="34" t="s">
        <v>331</v>
      </c>
      <c r="H480" s="5" t="s">
        <v>196</v>
      </c>
      <c r="I480" s="14" t="s">
        <v>65</v>
      </c>
      <c r="J480" s="271"/>
    </row>
    <row r="481" spans="1:10" x14ac:dyDescent="0.3">
      <c r="A481" s="271"/>
      <c r="B481" s="161"/>
      <c r="C481" s="161"/>
      <c r="D481" s="14">
        <v>12</v>
      </c>
      <c r="E481" s="4" t="s">
        <v>88</v>
      </c>
      <c r="F481" s="14" t="s">
        <v>175</v>
      </c>
      <c r="G481" s="5" t="s">
        <v>326</v>
      </c>
      <c r="H481" s="5" t="s">
        <v>105</v>
      </c>
      <c r="I481" s="14" t="s">
        <v>37</v>
      </c>
      <c r="J481" s="271"/>
    </row>
    <row r="482" spans="1:10" x14ac:dyDescent="0.3">
      <c r="A482" s="271"/>
      <c r="B482" s="161"/>
      <c r="C482" s="161"/>
      <c r="D482" s="14">
        <v>13</v>
      </c>
      <c r="E482" s="4" t="s">
        <v>84</v>
      </c>
      <c r="F482" s="35">
        <v>46032</v>
      </c>
      <c r="G482" s="5" t="s">
        <v>328</v>
      </c>
      <c r="H482" s="5" t="s">
        <v>110</v>
      </c>
      <c r="I482" s="14" t="s">
        <v>37</v>
      </c>
      <c r="J482" s="271"/>
    </row>
    <row r="483" spans="1:10" x14ac:dyDescent="0.3">
      <c r="A483" s="271"/>
      <c r="B483" s="161"/>
      <c r="C483" s="161"/>
      <c r="D483" s="14">
        <v>14</v>
      </c>
      <c r="E483" s="4" t="s">
        <v>85</v>
      </c>
      <c r="F483" s="14" t="str">
        <f>IF(F470="Donald Easter","Donal Easter LLC",IF(F470="Aspire Intl  ","Aspire International",IF(F470="Money Maker EUR","MoneyMaker Ltd",IF(F470="TanishQ Entrp","TanishQ Enterpresis","NA"))))</f>
        <v>Donal Easter LLC</v>
      </c>
      <c r="G483" s="5" t="s">
        <v>330</v>
      </c>
      <c r="H483" s="5" t="s">
        <v>114</v>
      </c>
      <c r="I483" s="14" t="s">
        <v>37</v>
      </c>
      <c r="J483" s="271"/>
    </row>
    <row r="484" spans="1:10" x14ac:dyDescent="0.3">
      <c r="A484" s="271"/>
      <c r="B484" s="161"/>
      <c r="C484" s="161"/>
      <c r="D484" s="14">
        <v>15</v>
      </c>
      <c r="E484" s="4" t="s">
        <v>86</v>
      </c>
      <c r="F484" s="14" t="s">
        <v>192</v>
      </c>
      <c r="G484" s="5" t="s">
        <v>330</v>
      </c>
      <c r="H484" s="5" t="s">
        <v>112</v>
      </c>
      <c r="I484" s="14" t="s">
        <v>37</v>
      </c>
      <c r="J484" s="271"/>
    </row>
    <row r="485" spans="1:10" x14ac:dyDescent="0.3">
      <c r="A485" s="271"/>
      <c r="B485" s="161"/>
      <c r="C485" s="161"/>
      <c r="D485" s="14">
        <v>16</v>
      </c>
      <c r="E485" s="4" t="s">
        <v>87</v>
      </c>
      <c r="F485" s="14">
        <v>8691047788</v>
      </c>
      <c r="G485" s="5" t="s">
        <v>330</v>
      </c>
      <c r="H485" s="5" t="s">
        <v>115</v>
      </c>
      <c r="I485" s="14" t="s">
        <v>37</v>
      </c>
      <c r="J485" s="271"/>
    </row>
    <row r="486" spans="1:10" x14ac:dyDescent="0.3">
      <c r="A486" s="271"/>
      <c r="B486" s="161"/>
      <c r="C486" s="161"/>
      <c r="D486" s="14">
        <v>17</v>
      </c>
      <c r="E486" s="4" t="s">
        <v>89</v>
      </c>
      <c r="F486" s="14" t="s">
        <v>177</v>
      </c>
      <c r="G486" s="5" t="s">
        <v>326</v>
      </c>
      <c r="H486" s="5" t="s">
        <v>109</v>
      </c>
      <c r="I486" s="14" t="s">
        <v>37</v>
      </c>
      <c r="J486" s="271"/>
    </row>
    <row r="487" spans="1:10" x14ac:dyDescent="0.3">
      <c r="A487" s="271"/>
      <c r="B487" s="161"/>
      <c r="C487" s="161"/>
      <c r="D487" s="14">
        <v>18</v>
      </c>
      <c r="E487" s="4" t="s">
        <v>226</v>
      </c>
      <c r="F487" s="19" t="s">
        <v>43</v>
      </c>
      <c r="G487" s="5" t="s">
        <v>229</v>
      </c>
      <c r="H487" s="5" t="s">
        <v>228</v>
      </c>
      <c r="I487" s="14" t="s">
        <v>65</v>
      </c>
      <c r="J487" s="271"/>
    </row>
    <row r="489" spans="1:10" x14ac:dyDescent="0.3">
      <c r="A489" s="271" t="s">
        <v>246</v>
      </c>
      <c r="B489" s="161" t="s">
        <v>801</v>
      </c>
      <c r="C489" s="161" t="s">
        <v>224</v>
      </c>
      <c r="D489" s="14">
        <v>1</v>
      </c>
      <c r="E489" s="4" t="s">
        <v>75</v>
      </c>
      <c r="F489" s="14" t="s">
        <v>249</v>
      </c>
      <c r="G489" s="5" t="s">
        <v>326</v>
      </c>
      <c r="H489" s="5" t="s">
        <v>104</v>
      </c>
      <c r="I489" s="14" t="s">
        <v>37</v>
      </c>
      <c r="J489" s="271" t="s">
        <v>182</v>
      </c>
    </row>
    <row r="490" spans="1:10" x14ac:dyDescent="0.3">
      <c r="A490" s="271"/>
      <c r="B490" s="161"/>
      <c r="C490" s="161"/>
      <c r="D490" s="14">
        <v>2</v>
      </c>
      <c r="E490" s="4" t="s">
        <v>76</v>
      </c>
      <c r="F490" s="14" t="str">
        <f>F489</f>
        <v xml:space="preserve">Aspire Intl  </v>
      </c>
      <c r="G490" s="5" t="s">
        <v>326</v>
      </c>
      <c r="H490" s="5" t="s">
        <v>105</v>
      </c>
      <c r="I490" s="14" t="s">
        <v>37</v>
      </c>
      <c r="J490" s="271"/>
    </row>
    <row r="491" spans="1:10" x14ac:dyDescent="0.3">
      <c r="A491" s="271"/>
      <c r="B491" s="161"/>
      <c r="C491" s="161"/>
      <c r="D491" s="14">
        <v>3</v>
      </c>
      <c r="E491" s="4" t="s">
        <v>77</v>
      </c>
      <c r="F491" s="14" t="s">
        <v>180</v>
      </c>
      <c r="G491" s="5" t="s">
        <v>327</v>
      </c>
      <c r="H491" s="5" t="s">
        <v>107</v>
      </c>
      <c r="I491" s="14" t="s">
        <v>37</v>
      </c>
      <c r="J491" s="271"/>
    </row>
    <row r="492" spans="1:10" x14ac:dyDescent="0.3">
      <c r="A492" s="271"/>
      <c r="B492" s="161"/>
      <c r="C492" s="161"/>
      <c r="D492" s="14">
        <v>4</v>
      </c>
      <c r="E492" s="4" t="s">
        <v>78</v>
      </c>
      <c r="F492" s="14" t="s">
        <v>158</v>
      </c>
      <c r="G492" s="5" t="s">
        <v>326</v>
      </c>
      <c r="H492" s="5" t="s">
        <v>108</v>
      </c>
      <c r="I492" s="14" t="s">
        <v>37</v>
      </c>
      <c r="J492" s="271"/>
    </row>
    <row r="493" spans="1:10" x14ac:dyDescent="0.3">
      <c r="A493" s="271"/>
      <c r="B493" s="161"/>
      <c r="C493" s="161"/>
      <c r="D493" s="14">
        <v>5</v>
      </c>
      <c r="E493" s="4" t="s">
        <v>79</v>
      </c>
      <c r="F493" s="14" t="s">
        <v>94</v>
      </c>
      <c r="G493" s="5" t="s">
        <v>326</v>
      </c>
      <c r="H493" s="5" t="s">
        <v>105</v>
      </c>
      <c r="I493" s="14" t="s">
        <v>37</v>
      </c>
      <c r="J493" s="271"/>
    </row>
    <row r="494" spans="1:10" x14ac:dyDescent="0.3">
      <c r="A494" s="271"/>
      <c r="B494" s="161"/>
      <c r="C494" s="161"/>
      <c r="D494" s="14">
        <v>6</v>
      </c>
      <c r="E494" s="4" t="s">
        <v>232</v>
      </c>
      <c r="F494" s="14" t="s">
        <v>197</v>
      </c>
      <c r="G494" s="5" t="s">
        <v>198</v>
      </c>
      <c r="H494" s="5" t="s">
        <v>110</v>
      </c>
      <c r="I494" s="14" t="s">
        <v>65</v>
      </c>
      <c r="J494" s="271"/>
    </row>
    <row r="495" spans="1:10" x14ac:dyDescent="0.25">
      <c r="A495" s="271"/>
      <c r="B495" s="161"/>
      <c r="C495" s="161"/>
      <c r="D495" s="14">
        <v>7</v>
      </c>
      <c r="E495" s="4" t="s">
        <v>81</v>
      </c>
      <c r="F495" s="33" t="s">
        <v>167</v>
      </c>
      <c r="G495" s="5" t="s">
        <v>326</v>
      </c>
      <c r="H495" s="5" t="s">
        <v>106</v>
      </c>
      <c r="I495" s="14" t="s">
        <v>37</v>
      </c>
      <c r="J495" s="271"/>
    </row>
    <row r="496" spans="1:10" x14ac:dyDescent="0.3">
      <c r="A496" s="271"/>
      <c r="B496" s="161"/>
      <c r="C496" s="161"/>
      <c r="D496" s="14">
        <v>8</v>
      </c>
      <c r="E496" s="4" t="s">
        <v>82</v>
      </c>
      <c r="F496" s="14">
        <v>3</v>
      </c>
      <c r="G496" s="5" t="s">
        <v>329</v>
      </c>
      <c r="H496" s="5" t="s">
        <v>111</v>
      </c>
      <c r="I496" s="14" t="s">
        <v>37</v>
      </c>
      <c r="J496" s="271"/>
    </row>
    <row r="497" spans="1:10" x14ac:dyDescent="0.3">
      <c r="A497" s="271"/>
      <c r="B497" s="161"/>
      <c r="C497" s="161"/>
      <c r="D497" s="14">
        <v>9</v>
      </c>
      <c r="E497" s="4" t="s">
        <v>83</v>
      </c>
      <c r="F497" s="19" t="s">
        <v>43</v>
      </c>
      <c r="G497" s="34" t="s">
        <v>102</v>
      </c>
      <c r="H497" s="5" t="s">
        <v>113</v>
      </c>
      <c r="I497" s="14" t="s">
        <v>37</v>
      </c>
      <c r="J497" s="271"/>
    </row>
    <row r="498" spans="1:10" x14ac:dyDescent="0.3">
      <c r="A498" s="271"/>
      <c r="B498" s="161"/>
      <c r="C498" s="161"/>
      <c r="D498" s="14">
        <v>10</v>
      </c>
      <c r="E498" s="4" t="s">
        <v>193</v>
      </c>
      <c r="F498" s="19">
        <v>20</v>
      </c>
      <c r="G498" s="34" t="s">
        <v>330</v>
      </c>
      <c r="H498" s="5" t="s">
        <v>110</v>
      </c>
      <c r="I498" s="14" t="s">
        <v>37</v>
      </c>
      <c r="J498" s="271"/>
    </row>
    <row r="499" spans="1:10" x14ac:dyDescent="0.3">
      <c r="A499" s="271"/>
      <c r="B499" s="161"/>
      <c r="C499" s="161"/>
      <c r="D499" s="14">
        <v>11</v>
      </c>
      <c r="E499" s="4" t="s">
        <v>195</v>
      </c>
      <c r="F499" s="19" t="s">
        <v>43</v>
      </c>
      <c r="G499" s="34" t="s">
        <v>332</v>
      </c>
      <c r="H499" s="5" t="s">
        <v>203</v>
      </c>
      <c r="I499" s="14" t="s">
        <v>37</v>
      </c>
      <c r="J499" s="271"/>
    </row>
    <row r="500" spans="1:10" x14ac:dyDescent="0.3">
      <c r="A500" s="271"/>
      <c r="B500" s="161"/>
      <c r="C500" s="161"/>
      <c r="D500" s="14">
        <v>12</v>
      </c>
      <c r="E500" s="4" t="s">
        <v>88</v>
      </c>
      <c r="F500" s="14" t="s">
        <v>175</v>
      </c>
      <c r="G500" s="5" t="s">
        <v>326</v>
      </c>
      <c r="H500" s="5" t="s">
        <v>105</v>
      </c>
      <c r="I500" s="14" t="s">
        <v>37</v>
      </c>
      <c r="J500" s="271"/>
    </row>
    <row r="501" spans="1:10" x14ac:dyDescent="0.3">
      <c r="A501" s="271"/>
      <c r="B501" s="161"/>
      <c r="C501" s="161"/>
      <c r="D501" s="14">
        <v>13</v>
      </c>
      <c r="E501" s="4" t="s">
        <v>84</v>
      </c>
      <c r="F501" s="35">
        <v>46032</v>
      </c>
      <c r="G501" s="5" t="s">
        <v>328</v>
      </c>
      <c r="H501" s="5" t="s">
        <v>110</v>
      </c>
      <c r="I501" s="14" t="s">
        <v>37</v>
      </c>
      <c r="J501" s="271"/>
    </row>
    <row r="502" spans="1:10" x14ac:dyDescent="0.3">
      <c r="A502" s="271"/>
      <c r="B502" s="161"/>
      <c r="C502" s="161"/>
      <c r="D502" s="14">
        <v>14</v>
      </c>
      <c r="E502" s="4" t="s">
        <v>85</v>
      </c>
      <c r="F502" s="14" t="str">
        <f>IF(F489="Donald Easter","Donal Easter LLC",IF(F489="Aspire Intl  ","Aspire International",IF(F489="Money Maker EUR","MoneyMaker Ltd",IF(F489="TanishQ Entrp","TanishQ Enterpresis","NA"))))</f>
        <v>Aspire International</v>
      </c>
      <c r="G502" s="5" t="s">
        <v>330</v>
      </c>
      <c r="H502" s="5" t="s">
        <v>114</v>
      </c>
      <c r="I502" s="14" t="s">
        <v>37</v>
      </c>
      <c r="J502" s="271"/>
    </row>
    <row r="503" spans="1:10" x14ac:dyDescent="0.3">
      <c r="A503" s="271"/>
      <c r="B503" s="161"/>
      <c r="C503" s="161"/>
      <c r="D503" s="14">
        <v>15</v>
      </c>
      <c r="E503" s="4" t="s">
        <v>86</v>
      </c>
      <c r="F503" s="14" t="s">
        <v>192</v>
      </c>
      <c r="G503" s="5" t="s">
        <v>330</v>
      </c>
      <c r="H503" s="5" t="s">
        <v>112</v>
      </c>
      <c r="I503" s="14" t="s">
        <v>37</v>
      </c>
      <c r="J503" s="271"/>
    </row>
    <row r="504" spans="1:10" x14ac:dyDescent="0.3">
      <c r="A504" s="271"/>
      <c r="B504" s="161"/>
      <c r="C504" s="161"/>
      <c r="D504" s="14">
        <v>16</v>
      </c>
      <c r="E504" s="4" t="s">
        <v>87</v>
      </c>
      <c r="F504" s="14">
        <v>8691047788</v>
      </c>
      <c r="G504" s="5" t="s">
        <v>330</v>
      </c>
      <c r="H504" s="5" t="s">
        <v>115</v>
      </c>
      <c r="I504" s="14" t="s">
        <v>37</v>
      </c>
      <c r="J504" s="271"/>
    </row>
    <row r="505" spans="1:10" x14ac:dyDescent="0.3">
      <c r="A505" s="271"/>
      <c r="B505" s="161"/>
      <c r="C505" s="161"/>
      <c r="D505" s="14">
        <v>17</v>
      </c>
      <c r="E505" s="4" t="s">
        <v>89</v>
      </c>
      <c r="F505" s="14" t="s">
        <v>177</v>
      </c>
      <c r="G505" s="5" t="s">
        <v>326</v>
      </c>
      <c r="H505" s="5" t="s">
        <v>109</v>
      </c>
      <c r="I505" s="14" t="s">
        <v>37</v>
      </c>
      <c r="J505" s="271"/>
    </row>
    <row r="506" spans="1:10" x14ac:dyDescent="0.3">
      <c r="A506" s="271"/>
      <c r="B506" s="161"/>
      <c r="C506" s="161"/>
      <c r="D506" s="14">
        <v>18</v>
      </c>
      <c r="E506" s="4" t="s">
        <v>226</v>
      </c>
      <c r="F506" s="19" t="s">
        <v>43</v>
      </c>
      <c r="G506" s="5" t="s">
        <v>229</v>
      </c>
      <c r="H506" s="5" t="s">
        <v>228</v>
      </c>
      <c r="I506" s="14" t="s">
        <v>65</v>
      </c>
      <c r="J506" s="271"/>
    </row>
    <row r="509" spans="1:10" x14ac:dyDescent="0.3">
      <c r="A509" s="271" t="s">
        <v>247</v>
      </c>
      <c r="B509" s="161" t="s">
        <v>802</v>
      </c>
      <c r="C509" s="161" t="s">
        <v>224</v>
      </c>
      <c r="D509" s="14">
        <v>1</v>
      </c>
      <c r="E509" s="4" t="s">
        <v>75</v>
      </c>
      <c r="F509" s="14" t="s">
        <v>139</v>
      </c>
      <c r="G509" s="5" t="s">
        <v>326</v>
      </c>
      <c r="H509" s="5" t="s">
        <v>104</v>
      </c>
      <c r="I509" s="14" t="s">
        <v>37</v>
      </c>
      <c r="J509" s="271" t="s">
        <v>37</v>
      </c>
    </row>
    <row r="510" spans="1:10" x14ac:dyDescent="0.3">
      <c r="A510" s="271"/>
      <c r="B510" s="161"/>
      <c r="C510" s="161"/>
      <c r="D510" s="14">
        <v>2</v>
      </c>
      <c r="E510" s="4" t="s">
        <v>76</v>
      </c>
      <c r="F510" s="14" t="str">
        <f>F509</f>
        <v>TanishQ Entrp</v>
      </c>
      <c r="G510" s="5" t="s">
        <v>326</v>
      </c>
      <c r="H510" s="5" t="s">
        <v>105</v>
      </c>
      <c r="I510" s="14" t="s">
        <v>37</v>
      </c>
      <c r="J510" s="271"/>
    </row>
    <row r="511" spans="1:10" x14ac:dyDescent="0.3">
      <c r="A511" s="271"/>
      <c r="B511" s="161"/>
      <c r="C511" s="161"/>
      <c r="D511" s="14">
        <v>3</v>
      </c>
      <c r="E511" s="4" t="s">
        <v>77</v>
      </c>
      <c r="F511" s="14" t="s">
        <v>218</v>
      </c>
      <c r="G511" s="5" t="s">
        <v>327</v>
      </c>
      <c r="H511" s="5" t="s">
        <v>107</v>
      </c>
      <c r="I511" s="14" t="s">
        <v>37</v>
      </c>
      <c r="J511" s="271"/>
    </row>
    <row r="512" spans="1:10" x14ac:dyDescent="0.3">
      <c r="A512" s="271"/>
      <c r="B512" s="161"/>
      <c r="C512" s="161"/>
      <c r="D512" s="14">
        <v>4</v>
      </c>
      <c r="E512" s="4" t="s">
        <v>78</v>
      </c>
      <c r="F512" s="14" t="s">
        <v>159</v>
      </c>
      <c r="G512" s="5" t="s">
        <v>326</v>
      </c>
      <c r="H512" s="5" t="s">
        <v>108</v>
      </c>
      <c r="I512" s="14" t="s">
        <v>37</v>
      </c>
      <c r="J512" s="271"/>
    </row>
    <row r="513" spans="1:10" x14ac:dyDescent="0.3">
      <c r="A513" s="271"/>
      <c r="B513" s="161"/>
      <c r="C513" s="161"/>
      <c r="D513" s="14">
        <v>5</v>
      </c>
      <c r="E513" s="4" t="s">
        <v>79</v>
      </c>
      <c r="F513" s="14" t="s">
        <v>94</v>
      </c>
      <c r="G513" s="5" t="s">
        <v>326</v>
      </c>
      <c r="H513" s="5" t="s">
        <v>105</v>
      </c>
      <c r="I513" s="14" t="s">
        <v>37</v>
      </c>
      <c r="J513" s="271"/>
    </row>
    <row r="514" spans="1:10" x14ac:dyDescent="0.3">
      <c r="A514" s="271"/>
      <c r="B514" s="161"/>
      <c r="C514" s="161"/>
      <c r="D514" s="14">
        <v>6</v>
      </c>
      <c r="E514" s="4" t="s">
        <v>225</v>
      </c>
      <c r="F514" s="14" t="s">
        <v>95</v>
      </c>
      <c r="G514" s="5" t="s">
        <v>330</v>
      </c>
      <c r="H514" s="5" t="s">
        <v>110</v>
      </c>
      <c r="I514" s="14" t="s">
        <v>37</v>
      </c>
      <c r="J514" s="271"/>
    </row>
    <row r="515" spans="1:10" x14ac:dyDescent="0.25">
      <c r="A515" s="271"/>
      <c r="B515" s="161"/>
      <c r="C515" s="161"/>
      <c r="D515" s="14">
        <v>7</v>
      </c>
      <c r="E515" s="4" t="s">
        <v>81</v>
      </c>
      <c r="F515" s="33" t="s">
        <v>170</v>
      </c>
      <c r="G515" s="5" t="s">
        <v>326</v>
      </c>
      <c r="H515" s="5" t="s">
        <v>106</v>
      </c>
      <c r="I515" s="14" t="s">
        <v>37</v>
      </c>
      <c r="J515" s="271"/>
    </row>
    <row r="516" spans="1:10" x14ac:dyDescent="0.3">
      <c r="A516" s="271"/>
      <c r="B516" s="161"/>
      <c r="C516" s="161"/>
      <c r="D516" s="14">
        <v>8</v>
      </c>
      <c r="E516" s="4" t="s">
        <v>82</v>
      </c>
      <c r="F516" s="14">
        <v>2</v>
      </c>
      <c r="G516" s="5" t="s">
        <v>329</v>
      </c>
      <c r="H516" s="5" t="s">
        <v>111</v>
      </c>
      <c r="I516" s="14" t="s">
        <v>37</v>
      </c>
      <c r="J516" s="271"/>
    </row>
    <row r="517" spans="1:10" x14ac:dyDescent="0.3">
      <c r="A517" s="271"/>
      <c r="B517" s="161"/>
      <c r="C517" s="161"/>
      <c r="D517" s="14">
        <v>9</v>
      </c>
      <c r="E517" s="4" t="s">
        <v>83</v>
      </c>
      <c r="F517" s="19" t="s">
        <v>43</v>
      </c>
      <c r="G517" s="34" t="s">
        <v>102</v>
      </c>
      <c r="H517" s="5" t="s">
        <v>113</v>
      </c>
      <c r="I517" s="14" t="s">
        <v>37</v>
      </c>
      <c r="J517" s="271"/>
    </row>
    <row r="518" spans="1:10" x14ac:dyDescent="0.3">
      <c r="A518" s="271"/>
      <c r="B518" s="161"/>
      <c r="C518" s="161"/>
      <c r="D518" s="14">
        <v>10</v>
      </c>
      <c r="E518" s="4" t="s">
        <v>193</v>
      </c>
      <c r="F518" s="19">
        <v>0</v>
      </c>
      <c r="G518" s="34" t="s">
        <v>330</v>
      </c>
      <c r="H518" s="5" t="s">
        <v>110</v>
      </c>
      <c r="I518" s="14" t="s">
        <v>37</v>
      </c>
      <c r="J518" s="271"/>
    </row>
    <row r="519" spans="1:10" x14ac:dyDescent="0.3">
      <c r="A519" s="271"/>
      <c r="B519" s="161"/>
      <c r="C519" s="161"/>
      <c r="D519" s="14">
        <v>11</v>
      </c>
      <c r="E519" s="4" t="s">
        <v>195</v>
      </c>
      <c r="F519" s="19" t="s">
        <v>43</v>
      </c>
      <c r="G519" s="34" t="s">
        <v>332</v>
      </c>
      <c r="H519" s="5" t="s">
        <v>202</v>
      </c>
      <c r="I519" s="14" t="s">
        <v>37</v>
      </c>
      <c r="J519" s="271"/>
    </row>
    <row r="520" spans="1:10" x14ac:dyDescent="0.3">
      <c r="A520" s="271"/>
      <c r="B520" s="161"/>
      <c r="C520" s="161"/>
      <c r="D520" s="14">
        <v>12</v>
      </c>
      <c r="E520" s="4" t="s">
        <v>88</v>
      </c>
      <c r="F520" s="14" t="s">
        <v>173</v>
      </c>
      <c r="G520" s="5" t="s">
        <v>326</v>
      </c>
      <c r="H520" s="5" t="s">
        <v>105</v>
      </c>
      <c r="I520" s="14" t="s">
        <v>37</v>
      </c>
      <c r="J520" s="271"/>
    </row>
    <row r="521" spans="1:10" x14ac:dyDescent="0.3">
      <c r="A521" s="271"/>
      <c r="B521" s="161"/>
      <c r="C521" s="161"/>
      <c r="D521" s="14">
        <v>13</v>
      </c>
      <c r="E521" s="4" t="s">
        <v>84</v>
      </c>
      <c r="F521" s="35">
        <v>46032</v>
      </c>
      <c r="G521" s="5" t="s">
        <v>328</v>
      </c>
      <c r="H521" s="5" t="s">
        <v>110</v>
      </c>
      <c r="I521" s="14" t="s">
        <v>37</v>
      </c>
      <c r="J521" s="271"/>
    </row>
    <row r="522" spans="1:10" x14ac:dyDescent="0.3">
      <c r="A522" s="271"/>
      <c r="B522" s="161"/>
      <c r="C522" s="161"/>
      <c r="D522" s="14">
        <v>14</v>
      </c>
      <c r="E522" s="4" t="s">
        <v>85</v>
      </c>
      <c r="F522" s="14" t="str">
        <f>IF(F509="Donald Easter","Donal Easter LLC",IF(F509="Aspire Intl  ","Aspire International",IF(F509="Money Maker EUR","MoneyMaker Ltd",IF(F509="TanishQ Entrp","TanishQ Enterpresis","NA"))))</f>
        <v>TanishQ Enterpresis</v>
      </c>
      <c r="G522" s="5" t="s">
        <v>330</v>
      </c>
      <c r="H522" s="5" t="s">
        <v>114</v>
      </c>
      <c r="I522" s="14" t="s">
        <v>37</v>
      </c>
      <c r="J522" s="271"/>
    </row>
    <row r="523" spans="1:10" x14ac:dyDescent="0.3">
      <c r="A523" s="271"/>
      <c r="B523" s="161"/>
      <c r="C523" s="161"/>
      <c r="D523" s="14">
        <v>15</v>
      </c>
      <c r="E523" s="4" t="s">
        <v>86</v>
      </c>
      <c r="F523" s="14" t="s">
        <v>213</v>
      </c>
      <c r="G523" s="5" t="s">
        <v>330</v>
      </c>
      <c r="H523" s="5" t="s">
        <v>112</v>
      </c>
      <c r="I523" s="14" t="s">
        <v>37</v>
      </c>
      <c r="J523" s="271"/>
    </row>
    <row r="524" spans="1:10" x14ac:dyDescent="0.3">
      <c r="A524" s="271"/>
      <c r="B524" s="161"/>
      <c r="C524" s="161"/>
      <c r="D524" s="14">
        <v>16</v>
      </c>
      <c r="E524" s="4" t="s">
        <v>87</v>
      </c>
      <c r="F524" s="14">
        <v>8691047788</v>
      </c>
      <c r="G524" s="5" t="s">
        <v>330</v>
      </c>
      <c r="H524" s="5" t="s">
        <v>115</v>
      </c>
      <c r="I524" s="14" t="s">
        <v>37</v>
      </c>
      <c r="J524" s="271"/>
    </row>
    <row r="525" spans="1:10" x14ac:dyDescent="0.3">
      <c r="A525" s="271"/>
      <c r="B525" s="161"/>
      <c r="C525" s="161"/>
      <c r="D525" s="14">
        <v>17</v>
      </c>
      <c r="E525" s="4" t="s">
        <v>89</v>
      </c>
      <c r="F525" s="14" t="s">
        <v>97</v>
      </c>
      <c r="G525" s="5" t="s">
        <v>326</v>
      </c>
      <c r="H525" s="5" t="s">
        <v>109</v>
      </c>
      <c r="I525" s="14" t="s">
        <v>37</v>
      </c>
      <c r="J525" s="271"/>
    </row>
    <row r="526" spans="1:10" x14ac:dyDescent="0.3">
      <c r="A526" s="271"/>
      <c r="B526" s="161"/>
      <c r="C526" s="161"/>
      <c r="D526" s="14">
        <v>18</v>
      </c>
      <c r="E526" s="4" t="s">
        <v>233</v>
      </c>
      <c r="F526" s="19" t="s">
        <v>43</v>
      </c>
      <c r="G526" s="5" t="s">
        <v>234</v>
      </c>
      <c r="H526" s="5" t="s">
        <v>235</v>
      </c>
      <c r="I526" s="14" t="s">
        <v>37</v>
      </c>
      <c r="J526" s="271"/>
    </row>
    <row r="528" spans="1:10" ht="57.6" x14ac:dyDescent="0.3">
      <c r="A528" s="14" t="s">
        <v>248</v>
      </c>
      <c r="B528" s="25" t="s">
        <v>752</v>
      </c>
      <c r="C528" s="25" t="s">
        <v>224</v>
      </c>
      <c r="D528" s="14">
        <v>1</v>
      </c>
      <c r="E528" s="4" t="s">
        <v>233</v>
      </c>
      <c r="F528" s="19" t="s">
        <v>43</v>
      </c>
      <c r="G528" s="5" t="s">
        <v>234</v>
      </c>
      <c r="H528" s="5" t="s">
        <v>235</v>
      </c>
      <c r="I528" s="14" t="s">
        <v>37</v>
      </c>
      <c r="J528" s="14" t="s">
        <v>37</v>
      </c>
    </row>
    <row r="529" spans="1:10" ht="15" thickBot="1" x14ac:dyDescent="0.35"/>
    <row r="530" spans="1:10" ht="16.8" thickBot="1" x14ac:dyDescent="0.35">
      <c r="A530" s="279" t="s">
        <v>262</v>
      </c>
      <c r="B530" s="280"/>
      <c r="C530" s="280"/>
      <c r="D530" s="280"/>
      <c r="E530" s="280"/>
      <c r="F530" s="280"/>
      <c r="G530" s="280"/>
      <c r="H530" s="280"/>
      <c r="I530" s="280"/>
      <c r="J530" s="281"/>
    </row>
    <row r="532" spans="1:10" x14ac:dyDescent="0.3">
      <c r="A532" s="271" t="s">
        <v>263</v>
      </c>
      <c r="B532" s="161" t="s">
        <v>803</v>
      </c>
      <c r="C532" s="161" t="s">
        <v>264</v>
      </c>
      <c r="D532" s="14">
        <v>1</v>
      </c>
      <c r="E532" s="4" t="s">
        <v>265</v>
      </c>
      <c r="F532" s="14" t="s">
        <v>174</v>
      </c>
      <c r="G532" s="5" t="s">
        <v>326</v>
      </c>
      <c r="H532" s="5" t="s">
        <v>280</v>
      </c>
      <c r="I532" s="14" t="s">
        <v>37</v>
      </c>
      <c r="J532" s="271" t="s">
        <v>37</v>
      </c>
    </row>
    <row r="533" spans="1:10" ht="28.8" x14ac:dyDescent="0.3">
      <c r="A533" s="271"/>
      <c r="B533" s="161"/>
      <c r="C533" s="161"/>
      <c r="D533" s="14">
        <v>2</v>
      </c>
      <c r="E533" s="4" t="s">
        <v>266</v>
      </c>
      <c r="F533" s="19" t="s">
        <v>267</v>
      </c>
      <c r="G533" s="5" t="s">
        <v>333</v>
      </c>
      <c r="H533" s="5" t="s">
        <v>281</v>
      </c>
      <c r="I533" s="14" t="s">
        <v>37</v>
      </c>
      <c r="J533" s="271"/>
    </row>
    <row r="534" spans="1:10" x14ac:dyDescent="0.3">
      <c r="A534" s="271"/>
      <c r="B534" s="161"/>
      <c r="C534" s="161"/>
      <c r="D534" s="14">
        <v>3</v>
      </c>
      <c r="E534" s="4" t="s">
        <v>268</v>
      </c>
      <c r="F534" s="14" t="s">
        <v>271</v>
      </c>
      <c r="G534" s="5" t="s">
        <v>326</v>
      </c>
      <c r="H534" s="5" t="s">
        <v>282</v>
      </c>
      <c r="I534" s="14" t="s">
        <v>37</v>
      </c>
      <c r="J534" s="271"/>
    </row>
    <row r="535" spans="1:10" x14ac:dyDescent="0.3">
      <c r="A535" s="271"/>
      <c r="B535" s="161"/>
      <c r="C535" s="161"/>
      <c r="D535" s="14">
        <v>4</v>
      </c>
      <c r="E535" s="4" t="s">
        <v>275</v>
      </c>
      <c r="F535" s="62">
        <v>46032</v>
      </c>
      <c r="G535" s="5" t="s">
        <v>328</v>
      </c>
      <c r="H535" s="5" t="s">
        <v>283</v>
      </c>
      <c r="I535" s="14" t="s">
        <v>37</v>
      </c>
      <c r="J535" s="271"/>
    </row>
    <row r="536" spans="1:10" x14ac:dyDescent="0.3">
      <c r="A536" s="271"/>
      <c r="B536" s="161"/>
      <c r="C536" s="161"/>
      <c r="D536" s="14">
        <v>5</v>
      </c>
      <c r="E536" s="4" t="s">
        <v>276</v>
      </c>
      <c r="F536" s="35">
        <v>46063</v>
      </c>
      <c r="G536" s="5" t="s">
        <v>328</v>
      </c>
      <c r="H536" s="5" t="s">
        <v>284</v>
      </c>
      <c r="I536" s="14" t="s">
        <v>37</v>
      </c>
      <c r="J536" s="271"/>
    </row>
    <row r="537" spans="1:10" x14ac:dyDescent="0.3">
      <c r="A537" s="271"/>
      <c r="B537" s="161"/>
      <c r="C537" s="161"/>
      <c r="D537" s="14">
        <v>6</v>
      </c>
      <c r="E537" s="4" t="s">
        <v>277</v>
      </c>
      <c r="F537" s="14">
        <v>5</v>
      </c>
      <c r="G537" s="5" t="s">
        <v>330</v>
      </c>
      <c r="H537" s="5" t="s">
        <v>285</v>
      </c>
      <c r="I537" s="14" t="s">
        <v>37</v>
      </c>
      <c r="J537" s="271"/>
    </row>
    <row r="538" spans="1:10" x14ac:dyDescent="0.3">
      <c r="A538" s="271"/>
      <c r="B538" s="161"/>
      <c r="C538" s="161"/>
      <c r="D538" s="14">
        <v>7</v>
      </c>
      <c r="E538" s="4" t="s">
        <v>278</v>
      </c>
      <c r="F538" s="19" t="s">
        <v>267</v>
      </c>
      <c r="G538" s="5" t="s">
        <v>279</v>
      </c>
      <c r="H538" s="5" t="s">
        <v>286</v>
      </c>
      <c r="I538" s="14" t="s">
        <v>37</v>
      </c>
      <c r="J538" s="271"/>
    </row>
    <row r="540" spans="1:10" x14ac:dyDescent="0.3">
      <c r="A540" s="271" t="s">
        <v>287</v>
      </c>
      <c r="B540" s="161" t="s">
        <v>804</v>
      </c>
      <c r="C540" s="161" t="s">
        <v>264</v>
      </c>
      <c r="D540" s="14">
        <v>1</v>
      </c>
      <c r="E540" s="4" t="s">
        <v>265</v>
      </c>
      <c r="F540" s="14" t="s">
        <v>174</v>
      </c>
      <c r="G540" s="5" t="s">
        <v>326</v>
      </c>
      <c r="H540" s="5" t="s">
        <v>280</v>
      </c>
      <c r="I540" s="14" t="s">
        <v>37</v>
      </c>
      <c r="J540" s="271" t="s">
        <v>37</v>
      </c>
    </row>
    <row r="541" spans="1:10" ht="28.8" x14ac:dyDescent="0.3">
      <c r="A541" s="271"/>
      <c r="B541" s="161"/>
      <c r="C541" s="161"/>
      <c r="D541" s="14">
        <v>2</v>
      </c>
      <c r="E541" s="4" t="s">
        <v>266</v>
      </c>
      <c r="F541" s="19" t="s">
        <v>267</v>
      </c>
      <c r="G541" s="5" t="s">
        <v>333</v>
      </c>
      <c r="H541" s="5" t="s">
        <v>281</v>
      </c>
      <c r="I541" s="14" t="s">
        <v>37</v>
      </c>
      <c r="J541" s="271"/>
    </row>
    <row r="542" spans="1:10" x14ac:dyDescent="0.3">
      <c r="A542" s="271"/>
      <c r="B542" s="161"/>
      <c r="C542" s="161"/>
      <c r="D542" s="14">
        <v>3</v>
      </c>
      <c r="E542" s="4" t="s">
        <v>268</v>
      </c>
      <c r="F542" s="14" t="s">
        <v>271</v>
      </c>
      <c r="G542" s="5" t="s">
        <v>326</v>
      </c>
      <c r="H542" s="5" t="s">
        <v>282</v>
      </c>
      <c r="I542" s="14" t="s">
        <v>37</v>
      </c>
      <c r="J542" s="271"/>
    </row>
    <row r="543" spans="1:10" x14ac:dyDescent="0.3">
      <c r="A543" s="271"/>
      <c r="B543" s="161"/>
      <c r="C543" s="161"/>
      <c r="D543" s="14">
        <v>4</v>
      </c>
      <c r="E543" s="4" t="s">
        <v>275</v>
      </c>
      <c r="F543" s="62">
        <v>46032</v>
      </c>
      <c r="G543" s="5" t="s">
        <v>328</v>
      </c>
      <c r="H543" s="5" t="s">
        <v>283</v>
      </c>
      <c r="I543" s="14" t="s">
        <v>37</v>
      </c>
      <c r="J543" s="271"/>
    </row>
    <row r="544" spans="1:10" x14ac:dyDescent="0.3">
      <c r="A544" s="271"/>
      <c r="B544" s="161"/>
      <c r="C544" s="161"/>
      <c r="D544" s="14">
        <v>5</v>
      </c>
      <c r="E544" s="4" t="s">
        <v>276</v>
      </c>
      <c r="F544" s="35">
        <v>46063</v>
      </c>
      <c r="G544" s="5" t="s">
        <v>328</v>
      </c>
      <c r="H544" s="5" t="s">
        <v>284</v>
      </c>
      <c r="I544" s="14" t="s">
        <v>37</v>
      </c>
      <c r="J544" s="271"/>
    </row>
    <row r="545" spans="1:10" x14ac:dyDescent="0.3">
      <c r="A545" s="271"/>
      <c r="B545" s="161"/>
      <c r="C545" s="161"/>
      <c r="D545" s="14">
        <v>6</v>
      </c>
      <c r="E545" s="4" t="s">
        <v>277</v>
      </c>
      <c r="F545" s="14" t="s">
        <v>288</v>
      </c>
      <c r="G545" s="5" t="s">
        <v>294</v>
      </c>
      <c r="H545" s="5" t="s">
        <v>289</v>
      </c>
      <c r="I545" s="14" t="s">
        <v>37</v>
      </c>
      <c r="J545" s="271"/>
    </row>
    <row r="546" spans="1:10" x14ac:dyDescent="0.3">
      <c r="A546" s="271"/>
      <c r="B546" s="161"/>
      <c r="C546" s="161"/>
      <c r="D546" s="14">
        <v>7</v>
      </c>
      <c r="E546" s="4" t="s">
        <v>278</v>
      </c>
      <c r="F546" s="19" t="s">
        <v>267</v>
      </c>
      <c r="G546" s="5" t="s">
        <v>290</v>
      </c>
      <c r="H546" s="5" t="s">
        <v>286</v>
      </c>
      <c r="I546" s="14" t="s">
        <v>37</v>
      </c>
      <c r="J546" s="271"/>
    </row>
    <row r="548" spans="1:10" x14ac:dyDescent="0.3">
      <c r="A548" s="271" t="s">
        <v>291</v>
      </c>
      <c r="B548" s="161" t="s">
        <v>805</v>
      </c>
      <c r="C548" s="161" t="s">
        <v>264</v>
      </c>
      <c r="D548" s="14">
        <v>1</v>
      </c>
      <c r="E548" s="4" t="s">
        <v>265</v>
      </c>
      <c r="F548" s="14" t="s">
        <v>173</v>
      </c>
      <c r="G548" s="5" t="s">
        <v>326</v>
      </c>
      <c r="H548" s="5" t="s">
        <v>280</v>
      </c>
      <c r="I548" s="14" t="s">
        <v>37</v>
      </c>
      <c r="J548" s="271" t="s">
        <v>37</v>
      </c>
    </row>
    <row r="549" spans="1:10" ht="28.8" x14ac:dyDescent="0.3">
      <c r="A549" s="271"/>
      <c r="B549" s="161"/>
      <c r="C549" s="161"/>
      <c r="D549" s="14">
        <v>2</v>
      </c>
      <c r="E549" s="4" t="s">
        <v>266</v>
      </c>
      <c r="F549" s="19" t="s">
        <v>267</v>
      </c>
      <c r="G549" s="5" t="s">
        <v>333</v>
      </c>
      <c r="H549" s="5" t="s">
        <v>281</v>
      </c>
      <c r="I549" s="14" t="s">
        <v>37</v>
      </c>
      <c r="J549" s="271"/>
    </row>
    <row r="550" spans="1:10" x14ac:dyDescent="0.3">
      <c r="A550" s="271"/>
      <c r="B550" s="161"/>
      <c r="C550" s="161"/>
      <c r="D550" s="14">
        <v>3</v>
      </c>
      <c r="E550" s="4" t="s">
        <v>268</v>
      </c>
      <c r="F550" s="14" t="s">
        <v>274</v>
      </c>
      <c r="G550" s="5" t="s">
        <v>326</v>
      </c>
      <c r="H550" s="5" t="s">
        <v>282</v>
      </c>
      <c r="I550" s="14" t="s">
        <v>37</v>
      </c>
      <c r="J550" s="271"/>
    </row>
    <row r="551" spans="1:10" x14ac:dyDescent="0.3">
      <c r="A551" s="271"/>
      <c r="B551" s="161"/>
      <c r="C551" s="161"/>
      <c r="D551" s="14">
        <v>4</v>
      </c>
      <c r="E551" s="4" t="s">
        <v>275</v>
      </c>
      <c r="F551" s="62">
        <v>46032</v>
      </c>
      <c r="G551" s="5" t="s">
        <v>328</v>
      </c>
      <c r="H551" s="5" t="s">
        <v>283</v>
      </c>
      <c r="I551" s="14" t="s">
        <v>37</v>
      </c>
      <c r="J551" s="271"/>
    </row>
    <row r="552" spans="1:10" x14ac:dyDescent="0.3">
      <c r="A552" s="271"/>
      <c r="B552" s="161"/>
      <c r="C552" s="161"/>
      <c r="D552" s="14">
        <v>5</v>
      </c>
      <c r="E552" s="4" t="s">
        <v>276</v>
      </c>
      <c r="F552" s="35">
        <v>46063</v>
      </c>
      <c r="G552" s="5" t="s">
        <v>328</v>
      </c>
      <c r="H552" s="5" t="s">
        <v>284</v>
      </c>
      <c r="I552" s="14" t="s">
        <v>37</v>
      </c>
      <c r="J552" s="271"/>
    </row>
    <row r="553" spans="1:10" x14ac:dyDescent="0.3">
      <c r="A553" s="271"/>
      <c r="B553" s="161"/>
      <c r="C553" s="161"/>
      <c r="D553" s="14">
        <v>6</v>
      </c>
      <c r="E553" s="4" t="s">
        <v>277</v>
      </c>
      <c r="F553" s="14">
        <v>5</v>
      </c>
      <c r="G553" s="5" t="s">
        <v>330</v>
      </c>
      <c r="H553" s="5" t="s">
        <v>285</v>
      </c>
      <c r="I553" s="14" t="s">
        <v>37</v>
      </c>
      <c r="J553" s="271"/>
    </row>
    <row r="554" spans="1:10" x14ac:dyDescent="0.3">
      <c r="A554" s="271"/>
      <c r="B554" s="161"/>
      <c r="C554" s="161"/>
      <c r="D554" s="14">
        <v>7</v>
      </c>
      <c r="E554" s="4" t="s">
        <v>292</v>
      </c>
      <c r="F554" s="14" t="s">
        <v>293</v>
      </c>
      <c r="G554" s="5" t="s">
        <v>294</v>
      </c>
      <c r="H554" s="5" t="s">
        <v>289</v>
      </c>
      <c r="I554" s="14" t="s">
        <v>37</v>
      </c>
      <c r="J554" s="271"/>
    </row>
    <row r="555" spans="1:10" x14ac:dyDescent="0.3">
      <c r="A555" s="271"/>
      <c r="B555" s="161"/>
      <c r="C555" s="161"/>
      <c r="D555" s="14">
        <v>8</v>
      </c>
      <c r="E555" s="4" t="s">
        <v>278</v>
      </c>
      <c r="F555" s="19" t="s">
        <v>267</v>
      </c>
      <c r="G555" s="5" t="s">
        <v>279</v>
      </c>
      <c r="H555" s="5" t="s">
        <v>286</v>
      </c>
      <c r="I555" s="14" t="s">
        <v>37</v>
      </c>
      <c r="J555" s="271"/>
    </row>
    <row r="557" spans="1:10" ht="14.4" customHeight="1" x14ac:dyDescent="0.3">
      <c r="A557" s="271" t="s">
        <v>302</v>
      </c>
      <c r="B557" s="161" t="s">
        <v>806</v>
      </c>
      <c r="C557" s="161" t="s">
        <v>264</v>
      </c>
      <c r="D557" s="14">
        <v>1</v>
      </c>
      <c r="E557" s="4" t="s">
        <v>265</v>
      </c>
      <c r="F557" s="14" t="s">
        <v>175</v>
      </c>
      <c r="G557" s="5" t="s">
        <v>326</v>
      </c>
      <c r="H557" s="5" t="s">
        <v>280</v>
      </c>
      <c r="I557" s="14" t="s">
        <v>37</v>
      </c>
      <c r="J557" s="271" t="s">
        <v>37</v>
      </c>
    </row>
    <row r="558" spans="1:10" ht="28.8" x14ac:dyDescent="0.3">
      <c r="A558" s="271"/>
      <c r="B558" s="161"/>
      <c r="C558" s="161"/>
      <c r="D558" s="14">
        <v>2</v>
      </c>
      <c r="E558" s="4" t="s">
        <v>266</v>
      </c>
      <c r="F558" s="19" t="s">
        <v>267</v>
      </c>
      <c r="G558" s="5" t="s">
        <v>333</v>
      </c>
      <c r="H558" s="5" t="s">
        <v>281</v>
      </c>
      <c r="I558" s="14" t="s">
        <v>37</v>
      </c>
      <c r="J558" s="271"/>
    </row>
    <row r="559" spans="1:10" x14ac:dyDescent="0.3">
      <c r="A559" s="271"/>
      <c r="B559" s="161"/>
      <c r="C559" s="161"/>
      <c r="D559" s="14">
        <v>3</v>
      </c>
      <c r="E559" s="4" t="s">
        <v>268</v>
      </c>
      <c r="F559" s="14" t="s">
        <v>273</v>
      </c>
      <c r="G559" s="5" t="s">
        <v>326</v>
      </c>
      <c r="H559" s="5" t="s">
        <v>282</v>
      </c>
      <c r="I559" s="14" t="s">
        <v>37</v>
      </c>
      <c r="J559" s="271"/>
    </row>
    <row r="560" spans="1:10" x14ac:dyDescent="0.3">
      <c r="A560" s="271"/>
      <c r="B560" s="161"/>
      <c r="C560" s="161"/>
      <c r="D560" s="14">
        <v>4</v>
      </c>
      <c r="E560" s="4" t="s">
        <v>275</v>
      </c>
      <c r="F560" s="62">
        <v>46032</v>
      </c>
      <c r="G560" s="5" t="s">
        <v>328</v>
      </c>
      <c r="H560" s="5" t="s">
        <v>283</v>
      </c>
      <c r="I560" s="14" t="s">
        <v>37</v>
      </c>
      <c r="J560" s="271"/>
    </row>
    <row r="561" spans="1:10" x14ac:dyDescent="0.3">
      <c r="A561" s="271"/>
      <c r="B561" s="161"/>
      <c r="C561" s="161"/>
      <c r="D561" s="14">
        <v>5</v>
      </c>
      <c r="E561" s="4" t="s">
        <v>276</v>
      </c>
      <c r="F561" s="35">
        <v>46063</v>
      </c>
      <c r="G561" s="5" t="s">
        <v>328</v>
      </c>
      <c r="H561" s="5" t="s">
        <v>284</v>
      </c>
      <c r="I561" s="14" t="s">
        <v>37</v>
      </c>
      <c r="J561" s="271"/>
    </row>
    <row r="562" spans="1:10" x14ac:dyDescent="0.3">
      <c r="A562" s="271"/>
      <c r="B562" s="161"/>
      <c r="C562" s="161"/>
      <c r="D562" s="14">
        <v>6</v>
      </c>
      <c r="E562" s="4" t="s">
        <v>277</v>
      </c>
      <c r="F562" s="14">
        <v>20</v>
      </c>
      <c r="G562" s="5" t="s">
        <v>330</v>
      </c>
      <c r="H562" s="5" t="s">
        <v>285</v>
      </c>
      <c r="I562" s="14" t="s">
        <v>37</v>
      </c>
      <c r="J562" s="271"/>
    </row>
    <row r="563" spans="1:10" x14ac:dyDescent="0.3">
      <c r="A563" s="271"/>
      <c r="B563" s="161"/>
      <c r="C563" s="161"/>
      <c r="D563" s="14">
        <v>7</v>
      </c>
      <c r="E563" s="4" t="s">
        <v>292</v>
      </c>
      <c r="F563" s="14">
        <v>200</v>
      </c>
      <c r="G563" s="5" t="s">
        <v>330</v>
      </c>
      <c r="H563" s="5" t="s">
        <v>285</v>
      </c>
      <c r="I563" s="14" t="s">
        <v>37</v>
      </c>
      <c r="J563" s="271"/>
    </row>
    <row r="564" spans="1:10" x14ac:dyDescent="0.3">
      <c r="A564" s="271"/>
      <c r="B564" s="161"/>
      <c r="C564" s="161"/>
      <c r="D564" s="14">
        <v>8</v>
      </c>
      <c r="E564" s="4" t="s">
        <v>278</v>
      </c>
      <c r="F564" s="19" t="s">
        <v>267</v>
      </c>
      <c r="G564" s="5" t="s">
        <v>279</v>
      </c>
      <c r="H564" s="5" t="s">
        <v>286</v>
      </c>
      <c r="I564" s="14" t="s">
        <v>37</v>
      </c>
      <c r="J564" s="271"/>
    </row>
    <row r="565" spans="1:10" x14ac:dyDescent="0.3">
      <c r="A565" s="271"/>
      <c r="B565" s="161"/>
      <c r="C565" s="161"/>
      <c r="D565" s="14">
        <v>9</v>
      </c>
      <c r="E565" s="4" t="s">
        <v>295</v>
      </c>
      <c r="F565" s="14" t="s">
        <v>296</v>
      </c>
      <c r="G565" s="5" t="s">
        <v>326</v>
      </c>
      <c r="H565" s="5" t="s">
        <v>297</v>
      </c>
      <c r="I565" s="14" t="s">
        <v>37</v>
      </c>
      <c r="J565" s="271"/>
    </row>
    <row r="566" spans="1:10" x14ac:dyDescent="0.3">
      <c r="A566" s="271"/>
      <c r="B566" s="161"/>
      <c r="C566" s="161"/>
      <c r="D566" s="14">
        <v>10</v>
      </c>
      <c r="E566" s="4" t="s">
        <v>298</v>
      </c>
      <c r="F566" s="19" t="s">
        <v>299</v>
      </c>
      <c r="G566" s="5" t="s">
        <v>301</v>
      </c>
      <c r="H566" s="5" t="s">
        <v>300</v>
      </c>
      <c r="I566" s="14" t="s">
        <v>37</v>
      </c>
      <c r="J566" s="271"/>
    </row>
    <row r="568" spans="1:10" ht="57.6" x14ac:dyDescent="0.3">
      <c r="A568" s="14" t="s">
        <v>307</v>
      </c>
      <c r="B568" s="25" t="s">
        <v>807</v>
      </c>
      <c r="C568" s="25" t="s">
        <v>264</v>
      </c>
      <c r="D568" s="14">
        <v>1</v>
      </c>
      <c r="E568" s="4" t="s">
        <v>303</v>
      </c>
      <c r="F568" s="19" t="s">
        <v>43</v>
      </c>
      <c r="G568" s="5" t="s">
        <v>304</v>
      </c>
      <c r="H568" s="5" t="s">
        <v>305</v>
      </c>
      <c r="I568" s="14" t="s">
        <v>37</v>
      </c>
      <c r="J568" s="14" t="s">
        <v>37</v>
      </c>
    </row>
    <row r="570" spans="1:10" x14ac:dyDescent="0.3">
      <c r="A570" s="271" t="s">
        <v>306</v>
      </c>
      <c r="B570" s="161" t="s">
        <v>808</v>
      </c>
      <c r="C570" s="161" t="s">
        <v>264</v>
      </c>
      <c r="D570" s="14">
        <v>1</v>
      </c>
      <c r="E570" s="4" t="s">
        <v>265</v>
      </c>
      <c r="F570" s="14" t="s">
        <v>175</v>
      </c>
      <c r="G570" s="5" t="s">
        <v>326</v>
      </c>
      <c r="H570" s="5" t="s">
        <v>280</v>
      </c>
      <c r="I570" s="14" t="s">
        <v>37</v>
      </c>
      <c r="J570" s="271" t="s">
        <v>37</v>
      </c>
    </row>
    <row r="571" spans="1:10" ht="28.8" x14ac:dyDescent="0.3">
      <c r="A571" s="271"/>
      <c r="B571" s="161"/>
      <c r="C571" s="161"/>
      <c r="D571" s="14">
        <v>2</v>
      </c>
      <c r="E571" s="4" t="s">
        <v>266</v>
      </c>
      <c r="F571" s="19" t="s">
        <v>267</v>
      </c>
      <c r="G571" s="5" t="s">
        <v>333</v>
      </c>
      <c r="H571" s="5" t="s">
        <v>281</v>
      </c>
      <c r="I571" s="14" t="s">
        <v>37</v>
      </c>
      <c r="J571" s="271"/>
    </row>
    <row r="572" spans="1:10" x14ac:dyDescent="0.3">
      <c r="A572" s="271"/>
      <c r="B572" s="161"/>
      <c r="C572" s="161"/>
      <c r="D572" s="14">
        <v>3</v>
      </c>
      <c r="E572" s="4" t="s">
        <v>268</v>
      </c>
      <c r="F572" s="14" t="s">
        <v>273</v>
      </c>
      <c r="G572" s="5" t="s">
        <v>326</v>
      </c>
      <c r="H572" s="5" t="s">
        <v>282</v>
      </c>
      <c r="I572" s="14" t="s">
        <v>37</v>
      </c>
      <c r="J572" s="271"/>
    </row>
    <row r="573" spans="1:10" ht="28.8" x14ac:dyDescent="0.3">
      <c r="A573" s="271"/>
      <c r="B573" s="161"/>
      <c r="C573" s="161"/>
      <c r="D573" s="14">
        <v>4</v>
      </c>
      <c r="E573" s="4" t="s">
        <v>275</v>
      </c>
      <c r="F573" s="62" t="s">
        <v>308</v>
      </c>
      <c r="G573" s="5" t="s">
        <v>309</v>
      </c>
      <c r="H573" s="5" t="s">
        <v>310</v>
      </c>
      <c r="I573" s="14" t="s">
        <v>37</v>
      </c>
      <c r="J573" s="271"/>
    </row>
    <row r="574" spans="1:10" x14ac:dyDescent="0.3">
      <c r="A574" s="271"/>
      <c r="B574" s="161"/>
      <c r="C574" s="161"/>
      <c r="D574" s="14">
        <v>5</v>
      </c>
      <c r="E574" s="4" t="s">
        <v>276</v>
      </c>
      <c r="F574" s="35">
        <v>46063</v>
      </c>
      <c r="G574" s="5" t="s">
        <v>328</v>
      </c>
      <c r="H574" s="5" t="s">
        <v>284</v>
      </c>
      <c r="I574" s="14" t="s">
        <v>37</v>
      </c>
      <c r="J574" s="271"/>
    </row>
    <row r="575" spans="1:10" x14ac:dyDescent="0.3">
      <c r="A575" s="271"/>
      <c r="B575" s="161"/>
      <c r="C575" s="161"/>
      <c r="D575" s="14">
        <v>6</v>
      </c>
      <c r="E575" s="4" t="s">
        <v>277</v>
      </c>
      <c r="F575" s="14">
        <v>20</v>
      </c>
      <c r="G575" s="5" t="s">
        <v>330</v>
      </c>
      <c r="H575" s="5" t="s">
        <v>285</v>
      </c>
      <c r="I575" s="14" t="s">
        <v>37</v>
      </c>
      <c r="J575" s="271"/>
    </row>
    <row r="576" spans="1:10" x14ac:dyDescent="0.3">
      <c r="A576" s="271"/>
      <c r="B576" s="161"/>
      <c r="C576" s="161"/>
      <c r="D576" s="14">
        <v>7</v>
      </c>
      <c r="E576" s="4" t="s">
        <v>292</v>
      </c>
      <c r="F576" s="14">
        <v>200</v>
      </c>
      <c r="G576" s="5" t="s">
        <v>330</v>
      </c>
      <c r="H576" s="5" t="s">
        <v>285</v>
      </c>
      <c r="I576" s="14" t="s">
        <v>37</v>
      </c>
      <c r="J576" s="271"/>
    </row>
    <row r="577" spans="1:10" x14ac:dyDescent="0.3">
      <c r="A577" s="271"/>
      <c r="B577" s="161"/>
      <c r="C577" s="161"/>
      <c r="D577" s="14">
        <v>8</v>
      </c>
      <c r="E577" s="4" t="s">
        <v>278</v>
      </c>
      <c r="F577" s="19" t="s">
        <v>267</v>
      </c>
      <c r="G577" s="5" t="s">
        <v>279</v>
      </c>
      <c r="H577" s="5" t="s">
        <v>286</v>
      </c>
      <c r="I577" s="14" t="s">
        <v>37</v>
      </c>
      <c r="J577" s="271"/>
    </row>
    <row r="578" spans="1:10" ht="28.8" x14ac:dyDescent="0.3">
      <c r="A578" s="271"/>
      <c r="B578" s="161"/>
      <c r="C578" s="161"/>
      <c r="D578" s="14">
        <v>9</v>
      </c>
      <c r="E578" s="4" t="s">
        <v>295</v>
      </c>
      <c r="F578" s="54" t="s">
        <v>296</v>
      </c>
      <c r="G578" s="5" t="s">
        <v>326</v>
      </c>
      <c r="H578" s="5" t="s">
        <v>297</v>
      </c>
      <c r="I578" s="14" t="s">
        <v>37</v>
      </c>
      <c r="J578" s="271"/>
    </row>
    <row r="579" spans="1:10" x14ac:dyDescent="0.3">
      <c r="A579" s="271"/>
      <c r="B579" s="161"/>
      <c r="C579" s="161"/>
      <c r="D579" s="14">
        <v>10</v>
      </c>
      <c r="E579" s="4" t="s">
        <v>311</v>
      </c>
      <c r="F579" s="19" t="s">
        <v>299</v>
      </c>
      <c r="G579" s="5" t="s">
        <v>312</v>
      </c>
      <c r="H579" s="5" t="s">
        <v>313</v>
      </c>
      <c r="I579" s="14" t="s">
        <v>37</v>
      </c>
      <c r="J579" s="271"/>
    </row>
    <row r="581" spans="1:10" x14ac:dyDescent="0.3">
      <c r="A581" s="271" t="s">
        <v>314</v>
      </c>
      <c r="B581" s="161" t="s">
        <v>808</v>
      </c>
      <c r="C581" s="161" t="s">
        <v>264</v>
      </c>
      <c r="D581" s="14">
        <v>1</v>
      </c>
      <c r="E581" s="4" t="s">
        <v>265</v>
      </c>
      <c r="F581" s="14" t="s">
        <v>174</v>
      </c>
      <c r="G581" s="5" t="s">
        <v>326</v>
      </c>
      <c r="H581" s="5" t="s">
        <v>280</v>
      </c>
      <c r="I581" s="14" t="s">
        <v>37</v>
      </c>
      <c r="J581" s="271" t="s">
        <v>182</v>
      </c>
    </row>
    <row r="582" spans="1:10" ht="28.8" x14ac:dyDescent="0.3">
      <c r="A582" s="271"/>
      <c r="B582" s="161"/>
      <c r="C582" s="161"/>
      <c r="D582" s="14">
        <v>2</v>
      </c>
      <c r="E582" s="4" t="s">
        <v>266</v>
      </c>
      <c r="F582" s="19" t="s">
        <v>267</v>
      </c>
      <c r="G582" s="5" t="s">
        <v>333</v>
      </c>
      <c r="H582" s="5" t="s">
        <v>281</v>
      </c>
      <c r="I582" s="14" t="s">
        <v>37</v>
      </c>
      <c r="J582" s="271"/>
    </row>
    <row r="583" spans="1:10" x14ac:dyDescent="0.3">
      <c r="A583" s="271"/>
      <c r="B583" s="161"/>
      <c r="C583" s="161"/>
      <c r="D583" s="14">
        <v>3</v>
      </c>
      <c r="E583" s="4" t="s">
        <v>268</v>
      </c>
      <c r="F583" s="14" t="s">
        <v>273</v>
      </c>
      <c r="G583" s="5" t="s">
        <v>326</v>
      </c>
      <c r="H583" s="5" t="s">
        <v>282</v>
      </c>
      <c r="I583" s="14" t="s">
        <v>37</v>
      </c>
      <c r="J583" s="271"/>
    </row>
    <row r="584" spans="1:10" x14ac:dyDescent="0.3">
      <c r="A584" s="271"/>
      <c r="B584" s="161"/>
      <c r="C584" s="161"/>
      <c r="D584" s="14">
        <v>4</v>
      </c>
      <c r="E584" s="4" t="s">
        <v>275</v>
      </c>
      <c r="F584" s="62">
        <v>46032</v>
      </c>
      <c r="G584" s="5" t="s">
        <v>328</v>
      </c>
      <c r="H584" s="5" t="s">
        <v>283</v>
      </c>
      <c r="I584" s="14" t="s">
        <v>37</v>
      </c>
      <c r="J584" s="271"/>
    </row>
    <row r="585" spans="1:10" ht="28.8" x14ac:dyDescent="0.3">
      <c r="A585" s="271"/>
      <c r="B585" s="161"/>
      <c r="C585" s="161"/>
      <c r="D585" s="14">
        <v>5</v>
      </c>
      <c r="E585" s="4" t="s">
        <v>276</v>
      </c>
      <c r="F585" s="63" t="s">
        <v>315</v>
      </c>
      <c r="G585" s="5" t="s">
        <v>309</v>
      </c>
      <c r="H585" s="5" t="s">
        <v>316</v>
      </c>
      <c r="I585" s="14" t="s">
        <v>317</v>
      </c>
      <c r="J585" s="271"/>
    </row>
    <row r="586" spans="1:10" x14ac:dyDescent="0.3">
      <c r="A586" s="271"/>
      <c r="B586" s="161"/>
      <c r="C586" s="161"/>
      <c r="D586" s="14">
        <v>6</v>
      </c>
      <c r="E586" s="4" t="s">
        <v>277</v>
      </c>
      <c r="F586" s="14">
        <v>20</v>
      </c>
      <c r="G586" s="5" t="s">
        <v>330</v>
      </c>
      <c r="H586" s="5" t="s">
        <v>285</v>
      </c>
      <c r="I586" s="14" t="s">
        <v>37</v>
      </c>
      <c r="J586" s="271"/>
    </row>
    <row r="587" spans="1:10" x14ac:dyDescent="0.3">
      <c r="A587" s="271"/>
      <c r="B587" s="161"/>
      <c r="C587" s="161"/>
      <c r="D587" s="14">
        <v>7</v>
      </c>
      <c r="E587" s="4" t="s">
        <v>292</v>
      </c>
      <c r="F587" s="14">
        <v>40</v>
      </c>
      <c r="G587" s="5" t="s">
        <v>330</v>
      </c>
      <c r="H587" s="5" t="s">
        <v>285</v>
      </c>
      <c r="I587" s="14" t="s">
        <v>37</v>
      </c>
      <c r="J587" s="271"/>
    </row>
    <row r="588" spans="1:10" x14ac:dyDescent="0.3">
      <c r="A588" s="271"/>
      <c r="B588" s="161"/>
      <c r="C588" s="161"/>
      <c r="D588" s="14">
        <v>8</v>
      </c>
      <c r="E588" s="4" t="s">
        <v>278</v>
      </c>
      <c r="F588" s="19" t="s">
        <v>267</v>
      </c>
      <c r="G588" s="5" t="s">
        <v>279</v>
      </c>
      <c r="H588" s="5" t="s">
        <v>286</v>
      </c>
      <c r="I588" s="14" t="s">
        <v>37</v>
      </c>
      <c r="J588" s="271"/>
    </row>
    <row r="589" spans="1:10" ht="28.8" x14ac:dyDescent="0.3">
      <c r="A589" s="271"/>
      <c r="B589" s="161"/>
      <c r="C589" s="161"/>
      <c r="D589" s="14">
        <v>9</v>
      </c>
      <c r="E589" s="4" t="s">
        <v>295</v>
      </c>
      <c r="F589" s="54" t="s">
        <v>296</v>
      </c>
      <c r="G589" s="5" t="s">
        <v>326</v>
      </c>
      <c r="H589" s="5" t="s">
        <v>297</v>
      </c>
      <c r="I589" s="14" t="s">
        <v>37</v>
      </c>
      <c r="J589" s="271"/>
    </row>
    <row r="590" spans="1:10" x14ac:dyDescent="0.3">
      <c r="A590" s="271"/>
      <c r="B590" s="161"/>
      <c r="C590" s="161"/>
      <c r="D590" s="14">
        <v>10</v>
      </c>
      <c r="E590" s="4" t="s">
        <v>311</v>
      </c>
      <c r="F590" s="19" t="s">
        <v>299</v>
      </c>
      <c r="G590" s="5" t="s">
        <v>312</v>
      </c>
      <c r="H590" s="5" t="s">
        <v>318</v>
      </c>
      <c r="I590" s="14" t="s">
        <v>317</v>
      </c>
      <c r="J590" s="271"/>
    </row>
    <row r="592" spans="1:10" x14ac:dyDescent="0.3">
      <c r="A592" s="271" t="s">
        <v>319</v>
      </c>
      <c r="B592" s="161" t="s">
        <v>809</v>
      </c>
      <c r="C592" s="161" t="s">
        <v>264</v>
      </c>
      <c r="D592" s="14">
        <v>1</v>
      </c>
      <c r="E592" s="4" t="s">
        <v>265</v>
      </c>
      <c r="F592" s="14" t="s">
        <v>97</v>
      </c>
      <c r="G592" s="5" t="s">
        <v>326</v>
      </c>
      <c r="H592" s="5" t="s">
        <v>280</v>
      </c>
      <c r="I592" s="14" t="s">
        <v>37</v>
      </c>
      <c r="J592" s="271" t="s">
        <v>37</v>
      </c>
    </row>
    <row r="593" spans="1:10" ht="28.8" x14ac:dyDescent="0.3">
      <c r="A593" s="271"/>
      <c r="B593" s="161"/>
      <c r="C593" s="161"/>
      <c r="D593" s="14">
        <v>2</v>
      </c>
      <c r="E593" s="4" t="s">
        <v>266</v>
      </c>
      <c r="F593" s="19" t="s">
        <v>267</v>
      </c>
      <c r="G593" s="5" t="s">
        <v>333</v>
      </c>
      <c r="H593" s="5" t="s">
        <v>281</v>
      </c>
      <c r="I593" s="14" t="s">
        <v>37</v>
      </c>
      <c r="J593" s="271"/>
    </row>
    <row r="594" spans="1:10" x14ac:dyDescent="0.3">
      <c r="A594" s="271"/>
      <c r="B594" s="161"/>
      <c r="C594" s="161"/>
      <c r="D594" s="14">
        <v>3</v>
      </c>
      <c r="E594" s="4" t="s">
        <v>268</v>
      </c>
      <c r="F594" s="14" t="s">
        <v>271</v>
      </c>
      <c r="G594" s="5" t="s">
        <v>326</v>
      </c>
      <c r="H594" s="5" t="s">
        <v>282</v>
      </c>
      <c r="I594" s="14" t="s">
        <v>37</v>
      </c>
      <c r="J594" s="271"/>
    </row>
    <row r="595" spans="1:10" x14ac:dyDescent="0.3">
      <c r="A595" s="271"/>
      <c r="B595" s="161"/>
      <c r="C595" s="161"/>
      <c r="D595" s="14">
        <v>4</v>
      </c>
      <c r="E595" s="4" t="s">
        <v>275</v>
      </c>
      <c r="F595" s="62">
        <v>46032</v>
      </c>
      <c r="G595" s="5" t="s">
        <v>328</v>
      </c>
      <c r="H595" s="5" t="s">
        <v>283</v>
      </c>
      <c r="I595" s="14" t="s">
        <v>37</v>
      </c>
      <c r="J595" s="271"/>
    </row>
    <row r="596" spans="1:10" x14ac:dyDescent="0.3">
      <c r="A596" s="271"/>
      <c r="B596" s="161"/>
      <c r="C596" s="161"/>
      <c r="D596" s="14">
        <v>5</v>
      </c>
      <c r="E596" s="4" t="s">
        <v>276</v>
      </c>
      <c r="F596" s="63">
        <v>46063</v>
      </c>
      <c r="G596" s="5" t="s">
        <v>328</v>
      </c>
      <c r="H596" s="5" t="s">
        <v>321</v>
      </c>
      <c r="I596" s="14" t="s">
        <v>37</v>
      </c>
      <c r="J596" s="271"/>
    </row>
    <row r="597" spans="1:10" x14ac:dyDescent="0.3">
      <c r="A597" s="271"/>
      <c r="B597" s="161"/>
      <c r="C597" s="161"/>
      <c r="D597" s="14">
        <v>6</v>
      </c>
      <c r="E597" s="4" t="s">
        <v>277</v>
      </c>
      <c r="F597" s="14">
        <v>20</v>
      </c>
      <c r="G597" s="5" t="s">
        <v>330</v>
      </c>
      <c r="H597" s="5" t="s">
        <v>285</v>
      </c>
      <c r="I597" s="14" t="s">
        <v>37</v>
      </c>
      <c r="J597" s="271"/>
    </row>
    <row r="598" spans="1:10" x14ac:dyDescent="0.3">
      <c r="A598" s="271"/>
      <c r="B598" s="161"/>
      <c r="C598" s="161"/>
      <c r="D598" s="14">
        <v>7</v>
      </c>
      <c r="E598" s="4" t="s">
        <v>292</v>
      </c>
      <c r="F598" s="14">
        <v>40</v>
      </c>
      <c r="G598" s="5" t="s">
        <v>330</v>
      </c>
      <c r="H598" s="5" t="s">
        <v>285</v>
      </c>
      <c r="I598" s="14" t="s">
        <v>37</v>
      </c>
      <c r="J598" s="271"/>
    </row>
    <row r="599" spans="1:10" x14ac:dyDescent="0.3">
      <c r="A599" s="271"/>
      <c r="B599" s="161"/>
      <c r="C599" s="161"/>
      <c r="D599" s="14">
        <v>8</v>
      </c>
      <c r="E599" s="4" t="s">
        <v>278</v>
      </c>
      <c r="F599" s="19" t="s">
        <v>267</v>
      </c>
      <c r="G599" s="5" t="s">
        <v>279</v>
      </c>
      <c r="H599" s="5" t="s">
        <v>286</v>
      </c>
      <c r="I599" s="14" t="s">
        <v>37</v>
      </c>
      <c r="J599" s="271"/>
    </row>
    <row r="600" spans="1:10" ht="28.8" x14ac:dyDescent="0.3">
      <c r="A600" s="271"/>
      <c r="B600" s="161"/>
      <c r="C600" s="161"/>
      <c r="D600" s="14">
        <v>9</v>
      </c>
      <c r="E600" s="4" t="s">
        <v>295</v>
      </c>
      <c r="F600" s="54" t="s">
        <v>296</v>
      </c>
      <c r="G600" s="5" t="s">
        <v>326</v>
      </c>
      <c r="H600" s="5" t="s">
        <v>297</v>
      </c>
      <c r="I600" s="14" t="s">
        <v>37</v>
      </c>
      <c r="J600" s="271"/>
    </row>
    <row r="601" spans="1:10" x14ac:dyDescent="0.3">
      <c r="A601" s="271"/>
      <c r="B601" s="161"/>
      <c r="C601" s="161"/>
      <c r="D601" s="14">
        <v>10</v>
      </c>
      <c r="E601" s="4" t="s">
        <v>311</v>
      </c>
      <c r="F601" s="19" t="s">
        <v>299</v>
      </c>
      <c r="G601" s="5" t="s">
        <v>320</v>
      </c>
      <c r="H601" s="5" t="s">
        <v>318</v>
      </c>
      <c r="I601" s="14" t="s">
        <v>37</v>
      </c>
      <c r="J601" s="271"/>
    </row>
    <row r="603" spans="1:10" x14ac:dyDescent="0.3">
      <c r="A603" s="271" t="s">
        <v>322</v>
      </c>
      <c r="B603" s="161" t="s">
        <v>810</v>
      </c>
      <c r="C603" s="161" t="s">
        <v>264</v>
      </c>
      <c r="D603" s="14">
        <v>1</v>
      </c>
      <c r="E603" s="4" t="s">
        <v>265</v>
      </c>
      <c r="F603" s="14" t="s">
        <v>174</v>
      </c>
      <c r="G603" s="5" t="s">
        <v>326</v>
      </c>
      <c r="H603" s="5" t="s">
        <v>280</v>
      </c>
      <c r="I603" s="14" t="s">
        <v>37</v>
      </c>
      <c r="J603" s="271" t="s">
        <v>37</v>
      </c>
    </row>
    <row r="604" spans="1:10" ht="28.8" x14ac:dyDescent="0.3">
      <c r="A604" s="271"/>
      <c r="B604" s="161"/>
      <c r="C604" s="161"/>
      <c r="D604" s="14">
        <v>2</v>
      </c>
      <c r="E604" s="4" t="s">
        <v>266</v>
      </c>
      <c r="F604" s="19" t="s">
        <v>267</v>
      </c>
      <c r="G604" s="5" t="s">
        <v>333</v>
      </c>
      <c r="H604" s="5" t="s">
        <v>281</v>
      </c>
      <c r="I604" s="14" t="s">
        <v>37</v>
      </c>
      <c r="J604" s="271"/>
    </row>
    <row r="605" spans="1:10" x14ac:dyDescent="0.3">
      <c r="A605" s="271"/>
      <c r="B605" s="161"/>
      <c r="C605" s="161"/>
      <c r="D605" s="14">
        <v>3</v>
      </c>
      <c r="E605" s="4" t="s">
        <v>268</v>
      </c>
      <c r="F605" s="14" t="s">
        <v>272</v>
      </c>
      <c r="G605" s="5" t="s">
        <v>326</v>
      </c>
      <c r="H605" s="5" t="s">
        <v>282</v>
      </c>
      <c r="I605" s="14" t="s">
        <v>37</v>
      </c>
      <c r="J605" s="271"/>
    </row>
    <row r="606" spans="1:10" x14ac:dyDescent="0.3">
      <c r="A606" s="271"/>
      <c r="B606" s="161"/>
      <c r="C606" s="161"/>
      <c r="D606" s="14">
        <v>4</v>
      </c>
      <c r="E606" s="4" t="s">
        <v>275</v>
      </c>
      <c r="F606" s="62">
        <v>46032</v>
      </c>
      <c r="G606" s="5" t="s">
        <v>328</v>
      </c>
      <c r="H606" s="5" t="s">
        <v>283</v>
      </c>
      <c r="I606" s="14" t="s">
        <v>37</v>
      </c>
      <c r="J606" s="271"/>
    </row>
    <row r="607" spans="1:10" x14ac:dyDescent="0.3">
      <c r="A607" s="271"/>
      <c r="B607" s="161"/>
      <c r="C607" s="161"/>
      <c r="D607" s="14">
        <v>5</v>
      </c>
      <c r="E607" s="4" t="s">
        <v>276</v>
      </c>
      <c r="F607" s="63">
        <v>46063</v>
      </c>
      <c r="G607" s="5" t="s">
        <v>328</v>
      </c>
      <c r="H607" s="5" t="s">
        <v>321</v>
      </c>
      <c r="I607" s="14" t="s">
        <v>37</v>
      </c>
      <c r="J607" s="271"/>
    </row>
    <row r="608" spans="1:10" x14ac:dyDescent="0.3">
      <c r="A608" s="271"/>
      <c r="B608" s="161"/>
      <c r="C608" s="161"/>
      <c r="D608" s="14">
        <v>6</v>
      </c>
      <c r="E608" s="4" t="s">
        <v>277</v>
      </c>
      <c r="F608" s="14">
        <v>20</v>
      </c>
      <c r="G608" s="5" t="s">
        <v>330</v>
      </c>
      <c r="H608" s="5" t="s">
        <v>285</v>
      </c>
      <c r="I608" s="14" t="s">
        <v>37</v>
      </c>
      <c r="J608" s="271"/>
    </row>
    <row r="609" spans="1:10" x14ac:dyDescent="0.3">
      <c r="A609" s="271"/>
      <c r="B609" s="161"/>
      <c r="C609" s="161"/>
      <c r="D609" s="14">
        <v>7</v>
      </c>
      <c r="E609" s="4" t="s">
        <v>292</v>
      </c>
      <c r="F609" s="14">
        <v>40</v>
      </c>
      <c r="G609" s="5" t="s">
        <v>330</v>
      </c>
      <c r="H609" s="5" t="s">
        <v>285</v>
      </c>
      <c r="I609" s="14" t="s">
        <v>37</v>
      </c>
      <c r="J609" s="271"/>
    </row>
    <row r="610" spans="1:10" x14ac:dyDescent="0.3">
      <c r="A610" s="271"/>
      <c r="B610" s="161"/>
      <c r="C610" s="161"/>
      <c r="D610" s="14">
        <v>8</v>
      </c>
      <c r="E610" s="4" t="s">
        <v>278</v>
      </c>
      <c r="F610" s="19" t="s">
        <v>267</v>
      </c>
      <c r="G610" s="5" t="s">
        <v>279</v>
      </c>
      <c r="H610" s="5" t="s">
        <v>286</v>
      </c>
      <c r="I610" s="14" t="s">
        <v>37</v>
      </c>
      <c r="J610" s="271"/>
    </row>
    <row r="611" spans="1:10" ht="28.8" x14ac:dyDescent="0.3">
      <c r="A611" s="271"/>
      <c r="B611" s="161"/>
      <c r="C611" s="161"/>
      <c r="D611" s="14">
        <v>9</v>
      </c>
      <c r="E611" s="4" t="s">
        <v>295</v>
      </c>
      <c r="F611" s="54" t="s">
        <v>296</v>
      </c>
      <c r="G611" s="5" t="s">
        <v>326</v>
      </c>
      <c r="H611" s="5" t="s">
        <v>297</v>
      </c>
      <c r="I611" s="14" t="s">
        <v>37</v>
      </c>
      <c r="J611" s="271"/>
    </row>
    <row r="612" spans="1:10" x14ac:dyDescent="0.3">
      <c r="A612" s="271"/>
      <c r="B612" s="161"/>
      <c r="C612" s="161"/>
      <c r="D612" s="14">
        <v>10</v>
      </c>
      <c r="E612" s="4" t="s">
        <v>311</v>
      </c>
      <c r="F612" s="19" t="s">
        <v>299</v>
      </c>
      <c r="G612" s="5" t="s">
        <v>320</v>
      </c>
      <c r="H612" s="5" t="s">
        <v>318</v>
      </c>
      <c r="I612" s="14" t="s">
        <v>37</v>
      </c>
      <c r="J612" s="271"/>
    </row>
    <row r="614" spans="1:10" x14ac:dyDescent="0.3">
      <c r="A614" s="271" t="s">
        <v>323</v>
      </c>
      <c r="B614" s="161" t="s">
        <v>811</v>
      </c>
      <c r="C614" s="161" t="s">
        <v>264</v>
      </c>
      <c r="D614" s="14">
        <v>1</v>
      </c>
      <c r="E614" s="4" t="s">
        <v>265</v>
      </c>
      <c r="F614" s="14" t="s">
        <v>173</v>
      </c>
      <c r="G614" s="5" t="s">
        <v>326</v>
      </c>
      <c r="H614" s="5" t="s">
        <v>280</v>
      </c>
      <c r="I614" s="14" t="s">
        <v>37</v>
      </c>
      <c r="J614" s="271" t="s">
        <v>37</v>
      </c>
    </row>
    <row r="615" spans="1:10" ht="28.8" x14ac:dyDescent="0.3">
      <c r="A615" s="271"/>
      <c r="B615" s="161"/>
      <c r="C615" s="161"/>
      <c r="D615" s="14">
        <v>2</v>
      </c>
      <c r="E615" s="4" t="s">
        <v>266</v>
      </c>
      <c r="F615" s="19" t="s">
        <v>267</v>
      </c>
      <c r="G615" s="5" t="s">
        <v>333</v>
      </c>
      <c r="H615" s="5" t="s">
        <v>281</v>
      </c>
      <c r="I615" s="14" t="s">
        <v>37</v>
      </c>
      <c r="J615" s="271"/>
    </row>
    <row r="616" spans="1:10" x14ac:dyDescent="0.3">
      <c r="A616" s="271"/>
      <c r="B616" s="161"/>
      <c r="C616" s="161"/>
      <c r="D616" s="14">
        <v>3</v>
      </c>
      <c r="E616" s="4" t="s">
        <v>268</v>
      </c>
      <c r="F616" s="14" t="s">
        <v>270</v>
      </c>
      <c r="G616" s="5" t="s">
        <v>326</v>
      </c>
      <c r="H616" s="5" t="s">
        <v>282</v>
      </c>
      <c r="I616" s="14" t="s">
        <v>37</v>
      </c>
      <c r="J616" s="271"/>
    </row>
    <row r="617" spans="1:10" x14ac:dyDescent="0.3">
      <c r="A617" s="271"/>
      <c r="B617" s="161"/>
      <c r="C617" s="161"/>
      <c r="D617" s="14">
        <v>4</v>
      </c>
      <c r="E617" s="4" t="s">
        <v>275</v>
      </c>
      <c r="F617" s="62">
        <v>46032</v>
      </c>
      <c r="G617" s="5" t="s">
        <v>328</v>
      </c>
      <c r="H617" s="5" t="s">
        <v>283</v>
      </c>
      <c r="I617" s="14" t="s">
        <v>37</v>
      </c>
      <c r="J617" s="271"/>
    </row>
    <row r="618" spans="1:10" x14ac:dyDescent="0.3">
      <c r="A618" s="271"/>
      <c r="B618" s="161"/>
      <c r="C618" s="161"/>
      <c r="D618" s="14">
        <v>5</v>
      </c>
      <c r="E618" s="4" t="s">
        <v>276</v>
      </c>
      <c r="F618" s="63">
        <v>46063</v>
      </c>
      <c r="G618" s="5" t="s">
        <v>328</v>
      </c>
      <c r="H618" s="5" t="s">
        <v>321</v>
      </c>
      <c r="I618" s="14" t="s">
        <v>37</v>
      </c>
      <c r="J618" s="271"/>
    </row>
    <row r="619" spans="1:10" x14ac:dyDescent="0.3">
      <c r="A619" s="271"/>
      <c r="B619" s="161"/>
      <c r="C619" s="161"/>
      <c r="D619" s="14">
        <v>6</v>
      </c>
      <c r="E619" s="4" t="s">
        <v>277</v>
      </c>
      <c r="F619" s="14">
        <v>20</v>
      </c>
      <c r="G619" s="5" t="s">
        <v>330</v>
      </c>
      <c r="H619" s="5" t="s">
        <v>285</v>
      </c>
      <c r="I619" s="14" t="s">
        <v>37</v>
      </c>
      <c r="J619" s="271"/>
    </row>
    <row r="620" spans="1:10" x14ac:dyDescent="0.3">
      <c r="A620" s="271"/>
      <c r="B620" s="161"/>
      <c r="C620" s="161"/>
      <c r="D620" s="14">
        <v>7</v>
      </c>
      <c r="E620" s="4" t="s">
        <v>292</v>
      </c>
      <c r="F620" s="14">
        <v>40</v>
      </c>
      <c r="G620" s="5" t="s">
        <v>330</v>
      </c>
      <c r="H620" s="5" t="s">
        <v>285</v>
      </c>
      <c r="I620" s="14" t="s">
        <v>37</v>
      </c>
      <c r="J620" s="271"/>
    </row>
    <row r="621" spans="1:10" x14ac:dyDescent="0.3">
      <c r="A621" s="271"/>
      <c r="B621" s="161"/>
      <c r="C621" s="161"/>
      <c r="D621" s="14">
        <v>8</v>
      </c>
      <c r="E621" s="4" t="s">
        <v>278</v>
      </c>
      <c r="F621" s="19" t="s">
        <v>267</v>
      </c>
      <c r="G621" s="5" t="s">
        <v>279</v>
      </c>
      <c r="H621" s="5" t="s">
        <v>286</v>
      </c>
      <c r="I621" s="14" t="s">
        <v>37</v>
      </c>
      <c r="J621" s="271"/>
    </row>
    <row r="622" spans="1:10" ht="28.8" x14ac:dyDescent="0.3">
      <c r="A622" s="271"/>
      <c r="B622" s="161"/>
      <c r="C622" s="161"/>
      <c r="D622" s="14">
        <v>9</v>
      </c>
      <c r="E622" s="4" t="s">
        <v>295</v>
      </c>
      <c r="F622" s="54" t="s">
        <v>324</v>
      </c>
      <c r="G622" s="5" t="s">
        <v>326</v>
      </c>
      <c r="H622" s="5" t="s">
        <v>297</v>
      </c>
      <c r="I622" s="14" t="s">
        <v>37</v>
      </c>
      <c r="J622" s="271"/>
    </row>
    <row r="623" spans="1:10" x14ac:dyDescent="0.3">
      <c r="A623" s="271"/>
      <c r="B623" s="161"/>
      <c r="C623" s="161"/>
      <c r="D623" s="14">
        <v>10</v>
      </c>
      <c r="E623" s="4" t="s">
        <v>311</v>
      </c>
      <c r="F623" s="19" t="s">
        <v>299</v>
      </c>
      <c r="G623" s="5" t="s">
        <v>320</v>
      </c>
      <c r="H623" s="5" t="s">
        <v>318</v>
      </c>
      <c r="I623" s="14" t="s">
        <v>37</v>
      </c>
      <c r="J623" s="271"/>
    </row>
    <row r="625" spans="1:10" ht="15" thickBot="1" x14ac:dyDescent="0.35"/>
    <row r="626" spans="1:10" ht="16.8" thickBot="1" x14ac:dyDescent="0.35">
      <c r="A626" s="282" t="s">
        <v>378</v>
      </c>
      <c r="B626" s="283"/>
      <c r="C626" s="283"/>
      <c r="D626" s="283"/>
      <c r="E626" s="283"/>
      <c r="F626" s="283"/>
      <c r="G626" s="283"/>
      <c r="H626" s="283"/>
      <c r="I626" s="283"/>
      <c r="J626" s="284"/>
    </row>
    <row r="627" spans="1:10" ht="14.4" customHeight="1" x14ac:dyDescent="0.3">
      <c r="A627" s="157" t="s">
        <v>325</v>
      </c>
      <c r="B627" s="160" t="s">
        <v>812</v>
      </c>
      <c r="C627" s="160" t="s">
        <v>380</v>
      </c>
      <c r="D627" s="68">
        <v>1</v>
      </c>
      <c r="E627" s="69" t="s">
        <v>268</v>
      </c>
      <c r="F627" s="68" t="s">
        <v>271</v>
      </c>
      <c r="G627" s="70" t="s">
        <v>326</v>
      </c>
      <c r="H627" s="70" t="s">
        <v>280</v>
      </c>
      <c r="I627" s="68" t="s">
        <v>37</v>
      </c>
      <c r="J627" s="163" t="s">
        <v>37</v>
      </c>
    </row>
    <row r="628" spans="1:10" ht="28.8" x14ac:dyDescent="0.3">
      <c r="A628" s="158"/>
      <c r="B628" s="161"/>
      <c r="C628" s="161"/>
      <c r="D628" s="14">
        <v>2</v>
      </c>
      <c r="E628" s="4" t="s">
        <v>266</v>
      </c>
      <c r="F628" s="19" t="s">
        <v>267</v>
      </c>
      <c r="G628" s="5" t="s">
        <v>333</v>
      </c>
      <c r="H628" s="5" t="s">
        <v>281</v>
      </c>
      <c r="I628" s="14" t="s">
        <v>37</v>
      </c>
      <c r="J628" s="164"/>
    </row>
    <row r="629" spans="1:10" x14ac:dyDescent="0.3">
      <c r="A629" s="158"/>
      <c r="B629" s="161"/>
      <c r="C629" s="161"/>
      <c r="D629" s="14">
        <v>3</v>
      </c>
      <c r="E629" s="4" t="s">
        <v>275</v>
      </c>
      <c r="F629" s="67">
        <v>46213</v>
      </c>
      <c r="G629" s="5" t="s">
        <v>385</v>
      </c>
      <c r="H629" s="5" t="s">
        <v>386</v>
      </c>
      <c r="I629" s="14" t="s">
        <v>37</v>
      </c>
      <c r="J629" s="164"/>
    </row>
    <row r="630" spans="1:10" x14ac:dyDescent="0.3">
      <c r="A630" s="158"/>
      <c r="B630" s="161"/>
      <c r="C630" s="161"/>
      <c r="D630" s="14">
        <v>4</v>
      </c>
      <c r="E630" s="4" t="s">
        <v>387</v>
      </c>
      <c r="F630" s="35" t="s">
        <v>388</v>
      </c>
      <c r="G630" s="5" t="s">
        <v>385</v>
      </c>
      <c r="H630" s="5" t="s">
        <v>386</v>
      </c>
      <c r="I630" s="14" t="s">
        <v>37</v>
      </c>
      <c r="J630" s="164"/>
    </row>
    <row r="631" spans="1:10" x14ac:dyDescent="0.3">
      <c r="A631" s="158"/>
      <c r="B631" s="161"/>
      <c r="C631" s="161"/>
      <c r="D631" s="14">
        <v>5</v>
      </c>
      <c r="E631" s="4" t="s">
        <v>389</v>
      </c>
      <c r="F631" s="14" t="s">
        <v>159</v>
      </c>
      <c r="G631" s="5" t="s">
        <v>326</v>
      </c>
      <c r="H631" s="5" t="s">
        <v>390</v>
      </c>
      <c r="I631" s="14" t="s">
        <v>37</v>
      </c>
      <c r="J631" s="164"/>
    </row>
    <row r="632" spans="1:10" x14ac:dyDescent="0.3">
      <c r="A632" s="158"/>
      <c r="B632" s="161"/>
      <c r="C632" s="161"/>
      <c r="D632" s="14">
        <v>6</v>
      </c>
      <c r="E632" s="4" t="s">
        <v>391</v>
      </c>
      <c r="F632" s="19">
        <v>2</v>
      </c>
      <c r="G632" s="5" t="s">
        <v>392</v>
      </c>
      <c r="H632" s="5" t="s">
        <v>285</v>
      </c>
      <c r="I632" s="14" t="s">
        <v>393</v>
      </c>
      <c r="J632" s="164"/>
    </row>
    <row r="633" spans="1:10" x14ac:dyDescent="0.3">
      <c r="A633" s="158"/>
      <c r="B633" s="161"/>
      <c r="C633" s="161"/>
      <c r="D633" s="14">
        <v>7</v>
      </c>
      <c r="E633" s="4" t="s">
        <v>394</v>
      </c>
      <c r="F633" s="14">
        <v>20</v>
      </c>
      <c r="G633" s="5" t="s">
        <v>392</v>
      </c>
      <c r="H633" s="5" t="s">
        <v>285</v>
      </c>
      <c r="I633" s="14" t="s">
        <v>393</v>
      </c>
      <c r="J633" s="164"/>
    </row>
    <row r="634" spans="1:10" ht="15" thickBot="1" x14ac:dyDescent="0.35">
      <c r="A634" s="159"/>
      <c r="B634" s="162"/>
      <c r="C634" s="162"/>
      <c r="D634" s="71">
        <v>8</v>
      </c>
      <c r="E634" s="72" t="s">
        <v>278</v>
      </c>
      <c r="F634" s="73" t="s">
        <v>267</v>
      </c>
      <c r="G634" s="74" t="s">
        <v>395</v>
      </c>
      <c r="H634" s="74" t="s">
        <v>286</v>
      </c>
      <c r="I634" s="71" t="s">
        <v>393</v>
      </c>
      <c r="J634" s="165"/>
    </row>
    <row r="635" spans="1:10" ht="15" thickBot="1" x14ac:dyDescent="0.35"/>
    <row r="636" spans="1:10" x14ac:dyDescent="0.3">
      <c r="A636" s="157" t="s">
        <v>384</v>
      </c>
      <c r="B636" s="160" t="s">
        <v>813</v>
      </c>
      <c r="C636" s="160" t="s">
        <v>380</v>
      </c>
      <c r="D636" s="68">
        <v>1</v>
      </c>
      <c r="E636" s="69" t="s">
        <v>268</v>
      </c>
      <c r="F636" s="68" t="s">
        <v>273</v>
      </c>
      <c r="G636" s="70" t="s">
        <v>326</v>
      </c>
      <c r="H636" s="70" t="s">
        <v>280</v>
      </c>
      <c r="I636" s="68" t="s">
        <v>37</v>
      </c>
      <c r="J636" s="163" t="s">
        <v>37</v>
      </c>
    </row>
    <row r="637" spans="1:10" ht="28.8" x14ac:dyDescent="0.3">
      <c r="A637" s="158"/>
      <c r="B637" s="161"/>
      <c r="C637" s="161"/>
      <c r="D637" s="14">
        <v>2</v>
      </c>
      <c r="E637" s="4" t="s">
        <v>266</v>
      </c>
      <c r="F637" s="19" t="s">
        <v>267</v>
      </c>
      <c r="G637" s="5" t="s">
        <v>333</v>
      </c>
      <c r="H637" s="5" t="s">
        <v>281</v>
      </c>
      <c r="I637" s="14" t="s">
        <v>37</v>
      </c>
      <c r="J637" s="164"/>
    </row>
    <row r="638" spans="1:10" x14ac:dyDescent="0.3">
      <c r="A638" s="158"/>
      <c r="B638" s="161"/>
      <c r="C638" s="161"/>
      <c r="D638" s="14">
        <v>3</v>
      </c>
      <c r="E638" s="4" t="s">
        <v>275</v>
      </c>
      <c r="F638" s="67">
        <v>46213</v>
      </c>
      <c r="G638" s="5" t="s">
        <v>385</v>
      </c>
      <c r="H638" s="5" t="s">
        <v>386</v>
      </c>
      <c r="I638" s="14" t="s">
        <v>37</v>
      </c>
      <c r="J638" s="164"/>
    </row>
    <row r="639" spans="1:10" x14ac:dyDescent="0.3">
      <c r="A639" s="158"/>
      <c r="B639" s="161"/>
      <c r="C639" s="161"/>
      <c r="D639" s="14">
        <v>4</v>
      </c>
      <c r="E639" s="4" t="s">
        <v>387</v>
      </c>
      <c r="F639" s="35" t="s">
        <v>388</v>
      </c>
      <c r="G639" s="5" t="s">
        <v>385</v>
      </c>
      <c r="H639" s="5" t="s">
        <v>386</v>
      </c>
      <c r="I639" s="14" t="s">
        <v>37</v>
      </c>
      <c r="J639" s="164"/>
    </row>
    <row r="640" spans="1:10" x14ac:dyDescent="0.3">
      <c r="A640" s="158"/>
      <c r="B640" s="161"/>
      <c r="C640" s="161"/>
      <c r="D640" s="14">
        <v>5</v>
      </c>
      <c r="E640" s="4" t="s">
        <v>389</v>
      </c>
      <c r="F640" s="14" t="s">
        <v>158</v>
      </c>
      <c r="G640" s="5" t="s">
        <v>326</v>
      </c>
      <c r="H640" s="5" t="s">
        <v>390</v>
      </c>
      <c r="I640" s="14" t="s">
        <v>37</v>
      </c>
      <c r="J640" s="164"/>
    </row>
    <row r="641" spans="1:10" x14ac:dyDescent="0.3">
      <c r="A641" s="158"/>
      <c r="B641" s="161"/>
      <c r="C641" s="161"/>
      <c r="D641" s="14">
        <v>6</v>
      </c>
      <c r="E641" s="4" t="s">
        <v>391</v>
      </c>
      <c r="F641" s="19">
        <v>2</v>
      </c>
      <c r="G641" s="5" t="s">
        <v>392</v>
      </c>
      <c r="H641" s="5" t="s">
        <v>285</v>
      </c>
      <c r="I641" s="14" t="s">
        <v>393</v>
      </c>
      <c r="J641" s="164"/>
    </row>
    <row r="642" spans="1:10" x14ac:dyDescent="0.3">
      <c r="A642" s="158"/>
      <c r="B642" s="161"/>
      <c r="C642" s="161"/>
      <c r="D642" s="14">
        <v>7</v>
      </c>
      <c r="E642" s="4" t="s">
        <v>394</v>
      </c>
      <c r="F642" s="19" t="s">
        <v>397</v>
      </c>
      <c r="G642" s="5" t="s">
        <v>392</v>
      </c>
      <c r="H642" s="5" t="s">
        <v>285</v>
      </c>
      <c r="I642" s="14" t="s">
        <v>393</v>
      </c>
      <c r="J642" s="164"/>
    </row>
    <row r="643" spans="1:10" ht="15" thickBot="1" x14ac:dyDescent="0.35">
      <c r="A643" s="159"/>
      <c r="B643" s="162"/>
      <c r="C643" s="162"/>
      <c r="D643" s="71">
        <v>8</v>
      </c>
      <c r="E643" s="72" t="s">
        <v>278</v>
      </c>
      <c r="F643" s="73" t="s">
        <v>267</v>
      </c>
      <c r="G643" s="74" t="s">
        <v>401</v>
      </c>
      <c r="H643" s="74" t="s">
        <v>402</v>
      </c>
      <c r="I643" s="71" t="s">
        <v>393</v>
      </c>
      <c r="J643" s="165"/>
    </row>
    <row r="644" spans="1:10" ht="15" thickBot="1" x14ac:dyDescent="0.35"/>
    <row r="645" spans="1:10" ht="14.4" customHeight="1" x14ac:dyDescent="0.3">
      <c r="A645" s="157" t="s">
        <v>396</v>
      </c>
      <c r="B645" s="160" t="s">
        <v>814</v>
      </c>
      <c r="C645" s="160" t="s">
        <v>380</v>
      </c>
      <c r="D645" s="68">
        <v>1</v>
      </c>
      <c r="E645" s="69" t="s">
        <v>268</v>
      </c>
      <c r="F645" s="68" t="s">
        <v>274</v>
      </c>
      <c r="G645" s="70" t="s">
        <v>326</v>
      </c>
      <c r="H645" s="70" t="s">
        <v>280</v>
      </c>
      <c r="I645" s="68" t="s">
        <v>37</v>
      </c>
      <c r="J645" s="163" t="s">
        <v>37</v>
      </c>
    </row>
    <row r="646" spans="1:10" ht="28.8" x14ac:dyDescent="0.3">
      <c r="A646" s="158"/>
      <c r="B646" s="161"/>
      <c r="C646" s="161"/>
      <c r="D646" s="14">
        <v>2</v>
      </c>
      <c r="E646" s="4" t="s">
        <v>266</v>
      </c>
      <c r="F646" s="19" t="s">
        <v>267</v>
      </c>
      <c r="G646" s="5" t="s">
        <v>333</v>
      </c>
      <c r="H646" s="5" t="s">
        <v>281</v>
      </c>
      <c r="I646" s="14" t="s">
        <v>37</v>
      </c>
      <c r="J646" s="164"/>
    </row>
    <row r="647" spans="1:10" x14ac:dyDescent="0.3">
      <c r="A647" s="158"/>
      <c r="B647" s="161"/>
      <c r="C647" s="161"/>
      <c r="D647" s="14">
        <v>3</v>
      </c>
      <c r="E647" s="4" t="s">
        <v>275</v>
      </c>
      <c r="F647" s="67">
        <v>46213</v>
      </c>
      <c r="G647" s="5" t="s">
        <v>385</v>
      </c>
      <c r="H647" s="5" t="s">
        <v>386</v>
      </c>
      <c r="I647" s="14" t="s">
        <v>37</v>
      </c>
      <c r="J647" s="164"/>
    </row>
    <row r="648" spans="1:10" x14ac:dyDescent="0.3">
      <c r="A648" s="158"/>
      <c r="B648" s="161"/>
      <c r="C648" s="161"/>
      <c r="D648" s="14">
        <v>4</v>
      </c>
      <c r="E648" s="4" t="s">
        <v>387</v>
      </c>
      <c r="F648" s="35" t="s">
        <v>407</v>
      </c>
      <c r="G648" s="5" t="s">
        <v>385</v>
      </c>
      <c r="H648" s="5" t="s">
        <v>386</v>
      </c>
      <c r="I648" s="14" t="s">
        <v>37</v>
      </c>
      <c r="J648" s="164"/>
    </row>
    <row r="649" spans="1:10" x14ac:dyDescent="0.3">
      <c r="A649" s="158"/>
      <c r="B649" s="161"/>
      <c r="C649" s="161"/>
      <c r="D649" s="14">
        <v>5</v>
      </c>
      <c r="E649" s="4" t="s">
        <v>389</v>
      </c>
      <c r="F649" s="14" t="s">
        <v>157</v>
      </c>
      <c r="G649" s="5" t="s">
        <v>326</v>
      </c>
      <c r="H649" s="5" t="s">
        <v>390</v>
      </c>
      <c r="I649" s="14" t="s">
        <v>37</v>
      </c>
      <c r="J649" s="164"/>
    </row>
    <row r="650" spans="1:10" x14ac:dyDescent="0.3">
      <c r="A650" s="158"/>
      <c r="B650" s="161"/>
      <c r="C650" s="161"/>
      <c r="D650" s="14">
        <v>6</v>
      </c>
      <c r="E650" s="4" t="s">
        <v>391</v>
      </c>
      <c r="F650" s="19">
        <v>5</v>
      </c>
      <c r="G650" s="5" t="s">
        <v>392</v>
      </c>
      <c r="H650" s="5" t="s">
        <v>285</v>
      </c>
      <c r="I650" s="14" t="s">
        <v>393</v>
      </c>
      <c r="J650" s="164"/>
    </row>
    <row r="651" spans="1:10" x14ac:dyDescent="0.3">
      <c r="A651" s="158"/>
      <c r="B651" s="161"/>
      <c r="C651" s="161"/>
      <c r="D651" s="14">
        <v>7</v>
      </c>
      <c r="E651" s="4" t="s">
        <v>394</v>
      </c>
      <c r="F651" s="19">
        <v>20</v>
      </c>
      <c r="G651" s="5" t="s">
        <v>392</v>
      </c>
      <c r="H651" s="5" t="s">
        <v>285</v>
      </c>
      <c r="I651" s="14" t="s">
        <v>393</v>
      </c>
      <c r="J651" s="164"/>
    </row>
    <row r="652" spans="1:10" ht="15" thickBot="1" x14ac:dyDescent="0.35">
      <c r="A652" s="158"/>
      <c r="B652" s="161"/>
      <c r="C652" s="161"/>
      <c r="D652" s="14">
        <v>8</v>
      </c>
      <c r="E652" s="4" t="s">
        <v>278</v>
      </c>
      <c r="F652" s="19" t="s">
        <v>267</v>
      </c>
      <c r="G652" s="74" t="s">
        <v>395</v>
      </c>
      <c r="H652" s="74" t="s">
        <v>286</v>
      </c>
      <c r="I652" s="14" t="s">
        <v>393</v>
      </c>
      <c r="J652" s="164"/>
    </row>
    <row r="653" spans="1:10" ht="15" thickBot="1" x14ac:dyDescent="0.35">
      <c r="A653" s="159"/>
      <c r="B653" s="162"/>
      <c r="C653" s="162"/>
      <c r="D653" s="71">
        <v>9</v>
      </c>
      <c r="E653" s="72" t="s">
        <v>404</v>
      </c>
      <c r="F653" s="73" t="s">
        <v>299</v>
      </c>
      <c r="G653" s="74" t="s">
        <v>405</v>
      </c>
      <c r="H653" s="74" t="s">
        <v>406</v>
      </c>
      <c r="I653" s="71" t="s">
        <v>393</v>
      </c>
      <c r="J653" s="165"/>
    </row>
    <row r="654" spans="1:10" ht="15" thickBot="1" x14ac:dyDescent="0.35"/>
    <row r="655" spans="1:10" x14ac:dyDescent="0.3">
      <c r="A655" s="157" t="s">
        <v>403</v>
      </c>
      <c r="B655" s="160" t="s">
        <v>815</v>
      </c>
      <c r="C655" s="160" t="s">
        <v>380</v>
      </c>
      <c r="D655" s="68">
        <v>1</v>
      </c>
      <c r="E655" s="69" t="s">
        <v>268</v>
      </c>
      <c r="F655" s="68" t="s">
        <v>274</v>
      </c>
      <c r="G655" s="70" t="s">
        <v>326</v>
      </c>
      <c r="H655" s="70" t="s">
        <v>280</v>
      </c>
      <c r="I655" s="68" t="s">
        <v>37</v>
      </c>
      <c r="J655" s="163" t="s">
        <v>182</v>
      </c>
    </row>
    <row r="656" spans="1:10" ht="28.8" x14ac:dyDescent="0.3">
      <c r="A656" s="158"/>
      <c r="B656" s="161"/>
      <c r="C656" s="161"/>
      <c r="D656" s="14">
        <v>2</v>
      </c>
      <c r="E656" s="4" t="s">
        <v>266</v>
      </c>
      <c r="F656" s="19" t="s">
        <v>267</v>
      </c>
      <c r="G656" s="5" t="s">
        <v>333</v>
      </c>
      <c r="H656" s="5" t="s">
        <v>281</v>
      </c>
      <c r="I656" s="14" t="s">
        <v>37</v>
      </c>
      <c r="J656" s="164"/>
    </row>
    <row r="657" spans="1:23" x14ac:dyDescent="0.3">
      <c r="A657" s="158"/>
      <c r="B657" s="161"/>
      <c r="C657" s="161"/>
      <c r="D657" s="14">
        <v>3</v>
      </c>
      <c r="E657" s="4" t="s">
        <v>275</v>
      </c>
      <c r="F657" s="67">
        <v>46213</v>
      </c>
      <c r="G657" s="5" t="s">
        <v>385</v>
      </c>
      <c r="H657" s="5" t="s">
        <v>386</v>
      </c>
      <c r="I657" s="14" t="s">
        <v>37</v>
      </c>
      <c r="J657" s="164"/>
    </row>
    <row r="658" spans="1:23" x14ac:dyDescent="0.3">
      <c r="A658" s="158"/>
      <c r="B658" s="161"/>
      <c r="C658" s="161"/>
      <c r="D658" s="14">
        <v>4</v>
      </c>
      <c r="E658" s="4" t="s">
        <v>387</v>
      </c>
      <c r="F658" s="35" t="s">
        <v>407</v>
      </c>
      <c r="G658" s="5" t="s">
        <v>385</v>
      </c>
      <c r="H658" s="5" t="s">
        <v>386</v>
      </c>
      <c r="I658" s="14" t="s">
        <v>37</v>
      </c>
      <c r="J658" s="164"/>
      <c r="W658" s="14"/>
    </row>
    <row r="659" spans="1:23" x14ac:dyDescent="0.3">
      <c r="A659" s="158"/>
      <c r="B659" s="161"/>
      <c r="C659" s="161"/>
      <c r="D659" s="14">
        <v>5</v>
      </c>
      <c r="E659" s="4" t="s">
        <v>389</v>
      </c>
      <c r="F659" s="14" t="s">
        <v>157</v>
      </c>
      <c r="G659" s="5" t="s">
        <v>326</v>
      </c>
      <c r="H659" s="5" t="s">
        <v>390</v>
      </c>
      <c r="I659" s="14" t="s">
        <v>37</v>
      </c>
      <c r="J659" s="164"/>
    </row>
    <row r="660" spans="1:23" x14ac:dyDescent="0.3">
      <c r="A660" s="158"/>
      <c r="B660" s="161"/>
      <c r="C660" s="161"/>
      <c r="D660" s="14">
        <v>6</v>
      </c>
      <c r="E660" s="4" t="s">
        <v>408</v>
      </c>
      <c r="F660" s="17" t="s">
        <v>409</v>
      </c>
      <c r="G660" s="5" t="s">
        <v>410</v>
      </c>
      <c r="H660" s="5" t="s">
        <v>411</v>
      </c>
      <c r="I660" s="14" t="s">
        <v>182</v>
      </c>
      <c r="J660" s="164"/>
    </row>
    <row r="661" spans="1:23" x14ac:dyDescent="0.3">
      <c r="A661" s="158"/>
      <c r="B661" s="161"/>
      <c r="C661" s="161"/>
      <c r="D661" s="14">
        <v>7</v>
      </c>
      <c r="E661" s="4" t="s">
        <v>391</v>
      </c>
      <c r="F661" s="19">
        <v>5</v>
      </c>
      <c r="G661" s="5" t="s">
        <v>392</v>
      </c>
      <c r="H661" s="5" t="s">
        <v>285</v>
      </c>
      <c r="I661" s="14" t="s">
        <v>393</v>
      </c>
      <c r="J661" s="164"/>
    </row>
    <row r="662" spans="1:23" x14ac:dyDescent="0.3">
      <c r="A662" s="158"/>
      <c r="B662" s="161"/>
      <c r="C662" s="161"/>
      <c r="D662" s="14">
        <v>8</v>
      </c>
      <c r="E662" s="4" t="s">
        <v>394</v>
      </c>
      <c r="F662" s="19">
        <v>20</v>
      </c>
      <c r="G662" s="5" t="s">
        <v>392</v>
      </c>
      <c r="H662" s="5" t="s">
        <v>285</v>
      </c>
      <c r="I662" s="14" t="s">
        <v>393</v>
      </c>
      <c r="J662" s="164"/>
    </row>
    <row r="663" spans="1:23" ht="15" thickBot="1" x14ac:dyDescent="0.35">
      <c r="A663" s="158"/>
      <c r="B663" s="161"/>
      <c r="C663" s="161"/>
      <c r="D663" s="14">
        <v>9</v>
      </c>
      <c r="E663" s="4" t="s">
        <v>278</v>
      </c>
      <c r="F663" s="19" t="s">
        <v>267</v>
      </c>
      <c r="G663" s="74" t="s">
        <v>395</v>
      </c>
      <c r="H663" s="74" t="s">
        <v>286</v>
      </c>
      <c r="I663" s="14" t="s">
        <v>393</v>
      </c>
      <c r="J663" s="164"/>
    </row>
    <row r="664" spans="1:23" ht="15" thickBot="1" x14ac:dyDescent="0.35">
      <c r="A664" s="159"/>
      <c r="B664" s="162"/>
      <c r="C664" s="162"/>
      <c r="D664" s="71">
        <v>10</v>
      </c>
      <c r="E664" s="72" t="s">
        <v>404</v>
      </c>
      <c r="F664" s="73" t="s">
        <v>299</v>
      </c>
      <c r="G664" s="74" t="s">
        <v>412</v>
      </c>
      <c r="H664" s="74" t="s">
        <v>406</v>
      </c>
      <c r="I664" s="71" t="s">
        <v>182</v>
      </c>
      <c r="J664" s="165"/>
    </row>
    <row r="665" spans="1:23" ht="15" thickBot="1" x14ac:dyDescent="0.35"/>
    <row r="666" spans="1:23" x14ac:dyDescent="0.3">
      <c r="A666" s="157" t="s">
        <v>413</v>
      </c>
      <c r="B666" s="160" t="s">
        <v>816</v>
      </c>
      <c r="C666" s="160" t="s">
        <v>380</v>
      </c>
      <c r="D666" s="68">
        <v>1</v>
      </c>
      <c r="E666" s="69" t="s">
        <v>268</v>
      </c>
      <c r="F666" s="68" t="s">
        <v>271</v>
      </c>
      <c r="G666" s="70" t="s">
        <v>326</v>
      </c>
      <c r="H666" s="70" t="s">
        <v>280</v>
      </c>
      <c r="I666" s="68" t="s">
        <v>37</v>
      </c>
      <c r="J666" s="163" t="s">
        <v>182</v>
      </c>
    </row>
    <row r="667" spans="1:23" ht="28.8" x14ac:dyDescent="0.3">
      <c r="A667" s="158"/>
      <c r="B667" s="161"/>
      <c r="C667" s="161"/>
      <c r="D667" s="14">
        <v>2</v>
      </c>
      <c r="E667" s="4" t="s">
        <v>266</v>
      </c>
      <c r="F667" s="19" t="s">
        <v>267</v>
      </c>
      <c r="G667" s="5" t="s">
        <v>333</v>
      </c>
      <c r="H667" s="5" t="s">
        <v>281</v>
      </c>
      <c r="I667" s="14" t="s">
        <v>37</v>
      </c>
      <c r="J667" s="164"/>
    </row>
    <row r="668" spans="1:23" x14ac:dyDescent="0.3">
      <c r="A668" s="158"/>
      <c r="B668" s="161"/>
      <c r="C668" s="161"/>
      <c r="D668" s="14">
        <v>3</v>
      </c>
      <c r="E668" s="4" t="s">
        <v>275</v>
      </c>
      <c r="F668" s="67">
        <v>46213</v>
      </c>
      <c r="G668" s="5" t="s">
        <v>385</v>
      </c>
      <c r="H668" s="5" t="s">
        <v>386</v>
      </c>
      <c r="I668" s="14" t="s">
        <v>37</v>
      </c>
      <c r="J668" s="164"/>
    </row>
    <row r="669" spans="1:23" ht="28.8" x14ac:dyDescent="0.3">
      <c r="A669" s="158"/>
      <c r="B669" s="161"/>
      <c r="C669" s="161"/>
      <c r="D669" s="14">
        <v>4</v>
      </c>
      <c r="E669" s="4" t="s">
        <v>387</v>
      </c>
      <c r="F669" s="35" t="s">
        <v>415</v>
      </c>
      <c r="G669" s="5" t="s">
        <v>416</v>
      </c>
      <c r="H669" s="5" t="s">
        <v>417</v>
      </c>
      <c r="I669" s="14" t="s">
        <v>182</v>
      </c>
      <c r="J669" s="164"/>
    </row>
    <row r="670" spans="1:23" x14ac:dyDescent="0.3">
      <c r="A670" s="158"/>
      <c r="B670" s="161"/>
      <c r="C670" s="161"/>
      <c r="D670" s="14">
        <v>5</v>
      </c>
      <c r="E670" s="4" t="s">
        <v>389</v>
      </c>
      <c r="F670" s="14" t="s">
        <v>157</v>
      </c>
      <c r="G670" s="5" t="s">
        <v>326</v>
      </c>
      <c r="H670" s="5" t="s">
        <v>390</v>
      </c>
      <c r="I670" s="14" t="s">
        <v>37</v>
      </c>
      <c r="J670" s="164"/>
    </row>
    <row r="671" spans="1:23" x14ac:dyDescent="0.3">
      <c r="A671" s="158"/>
      <c r="B671" s="161"/>
      <c r="C671" s="161"/>
      <c r="D671" s="14">
        <v>6</v>
      </c>
      <c r="E671" s="4" t="s">
        <v>391</v>
      </c>
      <c r="F671" s="19">
        <v>5</v>
      </c>
      <c r="G671" s="5" t="s">
        <v>392</v>
      </c>
      <c r="H671" s="5" t="s">
        <v>285</v>
      </c>
      <c r="I671" s="14" t="s">
        <v>393</v>
      </c>
      <c r="J671" s="164"/>
    </row>
    <row r="672" spans="1:23" x14ac:dyDescent="0.3">
      <c r="A672" s="158"/>
      <c r="B672" s="161"/>
      <c r="C672" s="161"/>
      <c r="D672" s="14">
        <v>7</v>
      </c>
      <c r="E672" s="4" t="s">
        <v>394</v>
      </c>
      <c r="F672" s="19">
        <v>20</v>
      </c>
      <c r="G672" s="5" t="s">
        <v>392</v>
      </c>
      <c r="H672" s="5" t="s">
        <v>285</v>
      </c>
      <c r="I672" s="14" t="s">
        <v>393</v>
      </c>
      <c r="J672" s="164"/>
    </row>
    <row r="673" spans="1:10" ht="15" thickBot="1" x14ac:dyDescent="0.35">
      <c r="A673" s="158"/>
      <c r="B673" s="161"/>
      <c r="C673" s="161"/>
      <c r="D673" s="14">
        <v>8</v>
      </c>
      <c r="E673" s="4" t="s">
        <v>278</v>
      </c>
      <c r="F673" s="19" t="s">
        <v>267</v>
      </c>
      <c r="G673" s="74" t="s">
        <v>395</v>
      </c>
      <c r="H673" s="74" t="s">
        <v>286</v>
      </c>
      <c r="I673" s="14" t="s">
        <v>393</v>
      </c>
      <c r="J673" s="164"/>
    </row>
    <row r="674" spans="1:10" ht="15" thickBot="1" x14ac:dyDescent="0.35">
      <c r="A674" s="159"/>
      <c r="B674" s="162"/>
      <c r="C674" s="162"/>
      <c r="D674" s="71">
        <v>9</v>
      </c>
      <c r="E674" s="72" t="s">
        <v>404</v>
      </c>
      <c r="F674" s="73" t="s">
        <v>299</v>
      </c>
      <c r="G674" s="74" t="s">
        <v>412</v>
      </c>
      <c r="H674" s="74" t="s">
        <v>406</v>
      </c>
      <c r="I674" s="71" t="s">
        <v>182</v>
      </c>
      <c r="J674" s="165"/>
    </row>
    <row r="675" spans="1:10" ht="15" thickBot="1" x14ac:dyDescent="0.35"/>
    <row r="676" spans="1:10" x14ac:dyDescent="0.3">
      <c r="A676" s="157" t="s">
        <v>414</v>
      </c>
      <c r="B676" s="160" t="s">
        <v>817</v>
      </c>
      <c r="C676" s="160" t="s">
        <v>380</v>
      </c>
      <c r="D676" s="68">
        <v>1</v>
      </c>
      <c r="E676" s="69" t="s">
        <v>268</v>
      </c>
      <c r="F676" s="68" t="s">
        <v>270</v>
      </c>
      <c r="G676" s="70" t="s">
        <v>326</v>
      </c>
      <c r="H676" s="70" t="s">
        <v>280</v>
      </c>
      <c r="I676" s="68" t="s">
        <v>37</v>
      </c>
      <c r="J676" s="163" t="s">
        <v>182</v>
      </c>
    </row>
    <row r="677" spans="1:10" ht="28.8" x14ac:dyDescent="0.3">
      <c r="A677" s="158"/>
      <c r="B677" s="161"/>
      <c r="C677" s="161"/>
      <c r="D677" s="14">
        <v>2</v>
      </c>
      <c r="E677" s="4" t="s">
        <v>266</v>
      </c>
      <c r="F677" s="19" t="s">
        <v>267</v>
      </c>
      <c r="G677" s="5" t="s">
        <v>333</v>
      </c>
      <c r="H677" s="5" t="s">
        <v>281</v>
      </c>
      <c r="I677" s="14" t="s">
        <v>37</v>
      </c>
      <c r="J677" s="164"/>
    </row>
    <row r="678" spans="1:10" x14ac:dyDescent="0.3">
      <c r="A678" s="158"/>
      <c r="B678" s="161"/>
      <c r="C678" s="161"/>
      <c r="D678" s="14">
        <v>3</v>
      </c>
      <c r="E678" s="4" t="s">
        <v>275</v>
      </c>
      <c r="F678" s="67">
        <v>46213</v>
      </c>
      <c r="G678" s="5" t="s">
        <v>385</v>
      </c>
      <c r="H678" s="5" t="s">
        <v>386</v>
      </c>
      <c r="I678" s="14" t="s">
        <v>37</v>
      </c>
      <c r="J678" s="164"/>
    </row>
    <row r="679" spans="1:10" ht="28.8" x14ac:dyDescent="0.3">
      <c r="A679" s="158"/>
      <c r="B679" s="161"/>
      <c r="C679" s="161"/>
      <c r="D679" s="14">
        <v>4</v>
      </c>
      <c r="E679" s="4" t="s">
        <v>387</v>
      </c>
      <c r="F679" s="35" t="s">
        <v>388</v>
      </c>
      <c r="G679" s="5" t="s">
        <v>416</v>
      </c>
      <c r="H679" s="5" t="s">
        <v>417</v>
      </c>
      <c r="I679" s="14" t="s">
        <v>37</v>
      </c>
      <c r="J679" s="164"/>
    </row>
    <row r="680" spans="1:10" x14ac:dyDescent="0.3">
      <c r="A680" s="158"/>
      <c r="B680" s="161"/>
      <c r="C680" s="161"/>
      <c r="D680" s="14">
        <v>5</v>
      </c>
      <c r="E680" s="4" t="s">
        <v>389</v>
      </c>
      <c r="F680" s="14" t="s">
        <v>159</v>
      </c>
      <c r="G680" s="5" t="s">
        <v>326</v>
      </c>
      <c r="H680" s="5" t="s">
        <v>390</v>
      </c>
      <c r="I680" s="14" t="s">
        <v>37</v>
      </c>
      <c r="J680" s="164"/>
    </row>
    <row r="681" spans="1:10" x14ac:dyDescent="0.3">
      <c r="A681" s="158"/>
      <c r="B681" s="161"/>
      <c r="C681" s="161"/>
      <c r="D681" s="14">
        <v>6</v>
      </c>
      <c r="E681" s="4" t="s">
        <v>391</v>
      </c>
      <c r="F681" s="19" t="s">
        <v>420</v>
      </c>
      <c r="G681" s="5" t="s">
        <v>421</v>
      </c>
      <c r="H681" s="5" t="s">
        <v>422</v>
      </c>
      <c r="I681" s="14" t="s">
        <v>182</v>
      </c>
      <c r="J681" s="164"/>
    </row>
    <row r="682" spans="1:10" x14ac:dyDescent="0.3">
      <c r="A682" s="158"/>
      <c r="B682" s="161"/>
      <c r="C682" s="161"/>
      <c r="D682" s="14">
        <v>7</v>
      </c>
      <c r="E682" s="4" t="s">
        <v>394</v>
      </c>
      <c r="F682" s="19">
        <v>20</v>
      </c>
      <c r="G682" s="5" t="s">
        <v>392</v>
      </c>
      <c r="H682" s="5" t="s">
        <v>285</v>
      </c>
      <c r="I682" s="14" t="s">
        <v>393</v>
      </c>
      <c r="J682" s="164"/>
    </row>
    <row r="683" spans="1:10" ht="15" thickBot="1" x14ac:dyDescent="0.35">
      <c r="A683" s="158"/>
      <c r="B683" s="161"/>
      <c r="C683" s="161"/>
      <c r="D683" s="14">
        <v>8</v>
      </c>
      <c r="E683" s="4" t="s">
        <v>278</v>
      </c>
      <c r="F683" s="19" t="s">
        <v>267</v>
      </c>
      <c r="G683" s="74" t="s">
        <v>395</v>
      </c>
      <c r="H683" s="74" t="s">
        <v>286</v>
      </c>
      <c r="I683" s="14" t="s">
        <v>393</v>
      </c>
      <c r="J683" s="164"/>
    </row>
    <row r="684" spans="1:10" ht="15" thickBot="1" x14ac:dyDescent="0.35">
      <c r="A684" s="159"/>
      <c r="B684" s="162"/>
      <c r="C684" s="162"/>
      <c r="D684" s="14">
        <v>8</v>
      </c>
      <c r="E684" s="72" t="s">
        <v>404</v>
      </c>
      <c r="F684" s="73" t="s">
        <v>299</v>
      </c>
      <c r="G684" s="74" t="s">
        <v>412</v>
      </c>
      <c r="H684" s="74" t="s">
        <v>406</v>
      </c>
      <c r="I684" s="71" t="s">
        <v>182</v>
      </c>
      <c r="J684" s="165"/>
    </row>
    <row r="685" spans="1:10" ht="15" thickBot="1" x14ac:dyDescent="0.35"/>
    <row r="686" spans="1:10" ht="16.8" thickBot="1" x14ac:dyDescent="0.35">
      <c r="A686" s="282" t="s">
        <v>424</v>
      </c>
      <c r="B686" s="283"/>
      <c r="C686" s="283"/>
      <c r="D686" s="283"/>
      <c r="E686" s="283"/>
      <c r="F686" s="283"/>
      <c r="G686" s="283"/>
      <c r="H686" s="283"/>
      <c r="I686" s="283"/>
      <c r="J686" s="284"/>
    </row>
    <row r="687" spans="1:10" ht="19.8" customHeight="1" x14ac:dyDescent="0.3">
      <c r="A687" s="157" t="s">
        <v>419</v>
      </c>
      <c r="B687" s="160" t="s">
        <v>764</v>
      </c>
      <c r="C687" s="160" t="s">
        <v>427</v>
      </c>
      <c r="D687" s="68">
        <v>1</v>
      </c>
      <c r="E687" s="69" t="s">
        <v>442</v>
      </c>
      <c r="F687" s="68" t="s">
        <v>91</v>
      </c>
      <c r="G687" s="70" t="s">
        <v>444</v>
      </c>
      <c r="H687" s="70" t="s">
        <v>390</v>
      </c>
      <c r="I687" s="68" t="s">
        <v>393</v>
      </c>
      <c r="J687" s="163" t="s">
        <v>37</v>
      </c>
    </row>
    <row r="688" spans="1:10" x14ac:dyDescent="0.3">
      <c r="A688" s="158"/>
      <c r="B688" s="161"/>
      <c r="C688" s="161"/>
      <c r="D688" s="14">
        <v>2</v>
      </c>
      <c r="E688" s="4" t="s">
        <v>441</v>
      </c>
      <c r="F688" s="35">
        <v>46213</v>
      </c>
      <c r="G688" s="5" t="s">
        <v>385</v>
      </c>
      <c r="H688" s="5" t="s">
        <v>446</v>
      </c>
      <c r="I688" s="14" t="s">
        <v>393</v>
      </c>
      <c r="J688" s="164"/>
    </row>
    <row r="689" spans="1:10" x14ac:dyDescent="0.3">
      <c r="A689" s="158"/>
      <c r="B689" s="161"/>
      <c r="C689" s="161"/>
      <c r="D689" s="14">
        <v>3</v>
      </c>
      <c r="E689" s="4" t="s">
        <v>433</v>
      </c>
      <c r="F689" s="14" t="s">
        <v>443</v>
      </c>
      <c r="G689" s="5" t="s">
        <v>392</v>
      </c>
      <c r="H689" s="5" t="s">
        <v>285</v>
      </c>
      <c r="I689" s="14" t="s">
        <v>393</v>
      </c>
      <c r="J689" s="164"/>
    </row>
    <row r="690" spans="1:10" x14ac:dyDescent="0.3">
      <c r="A690" s="158"/>
      <c r="B690" s="161"/>
      <c r="C690" s="161"/>
      <c r="D690" s="14">
        <v>4</v>
      </c>
      <c r="E690" s="4" t="s">
        <v>438</v>
      </c>
      <c r="F690" s="14">
        <v>500</v>
      </c>
      <c r="G690" s="5" t="s">
        <v>447</v>
      </c>
      <c r="H690" s="5" t="s">
        <v>448</v>
      </c>
      <c r="I690" s="14" t="s">
        <v>393</v>
      </c>
      <c r="J690" s="164"/>
    </row>
    <row r="691" spans="1:10" x14ac:dyDescent="0.3">
      <c r="A691" s="158"/>
      <c r="B691" s="161"/>
      <c r="C691" s="161"/>
      <c r="D691" s="14">
        <v>5</v>
      </c>
      <c r="E691" s="4" t="s">
        <v>437</v>
      </c>
      <c r="F691" s="14">
        <v>20</v>
      </c>
      <c r="G691" s="5" t="s">
        <v>445</v>
      </c>
      <c r="H691" s="5" t="s">
        <v>448</v>
      </c>
      <c r="I691" s="14" t="s">
        <v>393</v>
      </c>
      <c r="J691" s="164"/>
    </row>
    <row r="692" spans="1:10" x14ac:dyDescent="0.3">
      <c r="A692" s="158"/>
      <c r="B692" s="161"/>
      <c r="C692" s="161"/>
      <c r="D692" s="14">
        <v>6</v>
      </c>
      <c r="E692" s="4" t="s">
        <v>439</v>
      </c>
      <c r="F692" s="19" t="s">
        <v>267</v>
      </c>
      <c r="G692" s="5" t="s">
        <v>449</v>
      </c>
      <c r="H692" s="5" t="s">
        <v>450</v>
      </c>
      <c r="I692" s="14" t="s">
        <v>393</v>
      </c>
      <c r="J692" s="164"/>
    </row>
    <row r="693" spans="1:10" ht="15" thickBot="1" x14ac:dyDescent="0.35">
      <c r="A693" s="159"/>
      <c r="B693" s="162"/>
      <c r="C693" s="162"/>
      <c r="D693" s="71">
        <v>7</v>
      </c>
      <c r="E693" s="72" t="s">
        <v>440</v>
      </c>
      <c r="F693" s="73" t="s">
        <v>299</v>
      </c>
      <c r="G693" s="74" t="s">
        <v>451</v>
      </c>
      <c r="H693" s="74" t="s">
        <v>452</v>
      </c>
      <c r="I693" s="71" t="s">
        <v>393</v>
      </c>
      <c r="J693" s="165"/>
    </row>
    <row r="694" spans="1:10" ht="15" thickBot="1" x14ac:dyDescent="0.35"/>
    <row r="695" spans="1:10" x14ac:dyDescent="0.3">
      <c r="A695" s="157" t="s">
        <v>418</v>
      </c>
      <c r="B695" s="160" t="s">
        <v>765</v>
      </c>
      <c r="C695" s="160" t="s">
        <v>427</v>
      </c>
      <c r="D695" s="68">
        <v>1</v>
      </c>
      <c r="E695" s="69" t="s">
        <v>442</v>
      </c>
      <c r="F695" s="68" t="s">
        <v>91</v>
      </c>
      <c r="G695" s="70" t="s">
        <v>444</v>
      </c>
      <c r="H695" s="70" t="s">
        <v>390</v>
      </c>
      <c r="I695" s="68" t="s">
        <v>393</v>
      </c>
      <c r="J695" s="163" t="s">
        <v>182</v>
      </c>
    </row>
    <row r="696" spans="1:10" x14ac:dyDescent="0.3">
      <c r="A696" s="158"/>
      <c r="B696" s="161"/>
      <c r="C696" s="161"/>
      <c r="D696" s="14">
        <v>2</v>
      </c>
      <c r="E696" s="4" t="s">
        <v>441</v>
      </c>
      <c r="F696" s="35">
        <v>46213</v>
      </c>
      <c r="G696" s="5" t="s">
        <v>385</v>
      </c>
      <c r="H696" s="5" t="s">
        <v>446</v>
      </c>
      <c r="I696" s="14" t="s">
        <v>393</v>
      </c>
      <c r="J696" s="164"/>
    </row>
    <row r="697" spans="1:10" x14ac:dyDescent="0.3">
      <c r="A697" s="158"/>
      <c r="B697" s="161"/>
      <c r="C697" s="161"/>
      <c r="D697" s="14">
        <v>3</v>
      </c>
      <c r="E697" s="4" t="s">
        <v>433</v>
      </c>
      <c r="F697" s="14" t="s">
        <v>443</v>
      </c>
      <c r="G697" s="5" t="s">
        <v>392</v>
      </c>
      <c r="H697" s="5" t="s">
        <v>285</v>
      </c>
      <c r="I697" s="14" t="s">
        <v>393</v>
      </c>
      <c r="J697" s="164"/>
    </row>
    <row r="698" spans="1:10" x14ac:dyDescent="0.3">
      <c r="A698" s="158"/>
      <c r="B698" s="161"/>
      <c r="C698" s="161"/>
      <c r="D698" s="14">
        <v>4</v>
      </c>
      <c r="E698" s="4" t="s">
        <v>454</v>
      </c>
      <c r="F698" s="14" t="s">
        <v>455</v>
      </c>
      <c r="G698" s="5" t="s">
        <v>447</v>
      </c>
      <c r="H698" s="5" t="s">
        <v>448</v>
      </c>
      <c r="I698" s="14" t="s">
        <v>393</v>
      </c>
      <c r="J698" s="164"/>
    </row>
    <row r="699" spans="1:10" x14ac:dyDescent="0.3">
      <c r="A699" s="158"/>
      <c r="B699" s="161"/>
      <c r="C699" s="161"/>
      <c r="D699" s="14">
        <v>4</v>
      </c>
      <c r="E699" s="4" t="s">
        <v>438</v>
      </c>
      <c r="F699" s="14">
        <v>500</v>
      </c>
      <c r="G699" s="5" t="s">
        <v>447</v>
      </c>
      <c r="H699" s="5" t="s">
        <v>448</v>
      </c>
      <c r="I699" s="14" t="s">
        <v>393</v>
      </c>
      <c r="J699" s="164"/>
    </row>
    <row r="700" spans="1:10" x14ac:dyDescent="0.3">
      <c r="A700" s="158"/>
      <c r="B700" s="161"/>
      <c r="C700" s="161"/>
      <c r="D700" s="14">
        <v>5</v>
      </c>
      <c r="E700" s="4" t="s">
        <v>437</v>
      </c>
      <c r="F700" s="14">
        <v>20</v>
      </c>
      <c r="G700" s="5" t="s">
        <v>445</v>
      </c>
      <c r="H700" s="5" t="s">
        <v>448</v>
      </c>
      <c r="I700" s="14" t="s">
        <v>393</v>
      </c>
      <c r="J700" s="164"/>
    </row>
    <row r="701" spans="1:10" x14ac:dyDescent="0.3">
      <c r="A701" s="158"/>
      <c r="B701" s="161"/>
      <c r="C701" s="161"/>
      <c r="D701" s="14">
        <v>6</v>
      </c>
      <c r="E701" s="4" t="s">
        <v>439</v>
      </c>
      <c r="F701" s="19" t="s">
        <v>267</v>
      </c>
      <c r="G701" s="5" t="s">
        <v>449</v>
      </c>
      <c r="H701" s="5" t="s">
        <v>456</v>
      </c>
      <c r="I701" s="14" t="s">
        <v>457</v>
      </c>
      <c r="J701" s="164"/>
    </row>
    <row r="702" spans="1:10" ht="15" thickBot="1" x14ac:dyDescent="0.35">
      <c r="A702" s="159"/>
      <c r="B702" s="162"/>
      <c r="C702" s="162"/>
      <c r="D702" s="71">
        <v>7</v>
      </c>
      <c r="E702" s="72" t="s">
        <v>440</v>
      </c>
      <c r="F702" s="73" t="s">
        <v>299</v>
      </c>
      <c r="G702" s="74" t="s">
        <v>458</v>
      </c>
      <c r="H702" s="74" t="s">
        <v>452</v>
      </c>
      <c r="I702" s="71" t="s">
        <v>457</v>
      </c>
      <c r="J702" s="165"/>
    </row>
    <row r="703" spans="1:10" ht="15" thickBot="1" x14ac:dyDescent="0.35"/>
    <row r="704" spans="1:10" x14ac:dyDescent="0.3">
      <c r="A704" s="157" t="s">
        <v>459</v>
      </c>
      <c r="B704" s="160" t="s">
        <v>818</v>
      </c>
      <c r="C704" s="160" t="s">
        <v>427</v>
      </c>
      <c r="D704" s="68">
        <v>1</v>
      </c>
      <c r="E704" s="69" t="s">
        <v>442</v>
      </c>
      <c r="F704" s="68" t="s">
        <v>153</v>
      </c>
      <c r="G704" s="70" t="s">
        <v>444</v>
      </c>
      <c r="H704" s="70" t="s">
        <v>390</v>
      </c>
      <c r="I704" s="68" t="s">
        <v>393</v>
      </c>
      <c r="J704" s="163" t="s">
        <v>37</v>
      </c>
    </row>
    <row r="705" spans="1:10" x14ac:dyDescent="0.3">
      <c r="A705" s="158"/>
      <c r="B705" s="161"/>
      <c r="C705" s="161"/>
      <c r="D705" s="14">
        <v>2</v>
      </c>
      <c r="E705" s="4" t="s">
        <v>441</v>
      </c>
      <c r="F705" s="35" t="s">
        <v>460</v>
      </c>
      <c r="G705" s="5" t="s">
        <v>461</v>
      </c>
      <c r="H705" s="5" t="s">
        <v>446</v>
      </c>
      <c r="I705" s="14" t="s">
        <v>457</v>
      </c>
      <c r="J705" s="164"/>
    </row>
    <row r="706" spans="1:10" x14ac:dyDescent="0.3">
      <c r="A706" s="158"/>
      <c r="B706" s="161"/>
      <c r="C706" s="161"/>
      <c r="D706" s="14">
        <v>3</v>
      </c>
      <c r="E706" s="4" t="s">
        <v>433</v>
      </c>
      <c r="F706" s="14" t="s">
        <v>443</v>
      </c>
      <c r="G706" s="5" t="s">
        <v>392</v>
      </c>
      <c r="H706" s="5" t="s">
        <v>285</v>
      </c>
      <c r="I706" s="14" t="s">
        <v>393</v>
      </c>
      <c r="J706" s="164"/>
    </row>
    <row r="707" spans="1:10" x14ac:dyDescent="0.3">
      <c r="A707" s="158"/>
      <c r="B707" s="161"/>
      <c r="C707" s="161"/>
      <c r="D707" s="14">
        <v>4</v>
      </c>
      <c r="E707" s="4" t="s">
        <v>438</v>
      </c>
      <c r="F707" s="14">
        <v>5056</v>
      </c>
      <c r="G707" s="5" t="s">
        <v>447</v>
      </c>
      <c r="H707" s="5" t="s">
        <v>448</v>
      </c>
      <c r="I707" s="14" t="s">
        <v>393</v>
      </c>
      <c r="J707" s="164"/>
    </row>
    <row r="708" spans="1:10" x14ac:dyDescent="0.3">
      <c r="A708" s="158"/>
      <c r="B708" s="161"/>
      <c r="C708" s="161"/>
      <c r="D708" s="14">
        <v>5</v>
      </c>
      <c r="E708" s="4" t="s">
        <v>437</v>
      </c>
      <c r="F708" s="14">
        <v>0</v>
      </c>
      <c r="G708" s="5" t="s">
        <v>445</v>
      </c>
      <c r="H708" s="5" t="s">
        <v>448</v>
      </c>
      <c r="I708" s="14" t="s">
        <v>393</v>
      </c>
      <c r="J708" s="164"/>
    </row>
    <row r="709" spans="1:10" x14ac:dyDescent="0.3">
      <c r="A709" s="158"/>
      <c r="B709" s="161"/>
      <c r="C709" s="161"/>
      <c r="D709" s="14">
        <v>6</v>
      </c>
      <c r="E709" s="4" t="s">
        <v>439</v>
      </c>
      <c r="F709" s="19" t="s">
        <v>267</v>
      </c>
      <c r="G709" s="5" t="s">
        <v>449</v>
      </c>
      <c r="H709" s="5" t="s">
        <v>450</v>
      </c>
      <c r="I709" s="14" t="s">
        <v>393</v>
      </c>
      <c r="J709" s="164"/>
    </row>
    <row r="710" spans="1:10" ht="29.4" thickBot="1" x14ac:dyDescent="0.35">
      <c r="A710" s="159"/>
      <c r="B710" s="162"/>
      <c r="C710" s="162"/>
      <c r="D710" s="71">
        <v>7</v>
      </c>
      <c r="E710" s="72" t="s">
        <v>440</v>
      </c>
      <c r="F710" s="73" t="s">
        <v>299</v>
      </c>
      <c r="G710" s="74" t="s">
        <v>458</v>
      </c>
      <c r="H710" s="74" t="s">
        <v>462</v>
      </c>
      <c r="I710" s="71" t="s">
        <v>393</v>
      </c>
      <c r="J710" s="165"/>
    </row>
    <row r="711" spans="1:10" ht="15" thickBot="1" x14ac:dyDescent="0.35"/>
    <row r="712" spans="1:10" x14ac:dyDescent="0.3">
      <c r="A712" s="157" t="s">
        <v>463</v>
      </c>
      <c r="B712" s="160" t="s">
        <v>767</v>
      </c>
      <c r="C712" s="160" t="s">
        <v>427</v>
      </c>
      <c r="D712" s="68">
        <v>1</v>
      </c>
      <c r="E712" s="69" t="s">
        <v>442</v>
      </c>
      <c r="F712" s="68" t="s">
        <v>91</v>
      </c>
      <c r="G712" s="70" t="s">
        <v>444</v>
      </c>
      <c r="H712" s="70" t="s">
        <v>390</v>
      </c>
      <c r="I712" s="68" t="s">
        <v>393</v>
      </c>
      <c r="J712" s="163" t="s">
        <v>37</v>
      </c>
    </row>
    <row r="713" spans="1:10" x14ac:dyDescent="0.3">
      <c r="A713" s="158"/>
      <c r="B713" s="161"/>
      <c r="C713" s="161"/>
      <c r="D713" s="14">
        <v>2</v>
      </c>
      <c r="E713" s="4" t="s">
        <v>441</v>
      </c>
      <c r="F713" s="35">
        <v>46213</v>
      </c>
      <c r="G713" s="5" t="s">
        <v>385</v>
      </c>
      <c r="H713" s="5" t="s">
        <v>446</v>
      </c>
      <c r="I713" s="14" t="s">
        <v>393</v>
      </c>
      <c r="J713" s="164"/>
    </row>
    <row r="714" spans="1:10" x14ac:dyDescent="0.3">
      <c r="A714" s="158"/>
      <c r="B714" s="161"/>
      <c r="C714" s="161"/>
      <c r="D714" s="14">
        <v>3</v>
      </c>
      <c r="E714" s="4" t="s">
        <v>433</v>
      </c>
      <c r="F714" s="14" t="s">
        <v>443</v>
      </c>
      <c r="G714" s="5" t="s">
        <v>392</v>
      </c>
      <c r="H714" s="5" t="s">
        <v>285</v>
      </c>
      <c r="I714" s="14" t="s">
        <v>393</v>
      </c>
      <c r="J714" s="164"/>
    </row>
    <row r="715" spans="1:10" x14ac:dyDescent="0.3">
      <c r="A715" s="158"/>
      <c r="B715" s="161"/>
      <c r="C715" s="161"/>
      <c r="D715" s="14">
        <v>4</v>
      </c>
      <c r="E715" s="4" t="s">
        <v>438</v>
      </c>
      <c r="F715" s="14">
        <v>500</v>
      </c>
      <c r="G715" s="5" t="s">
        <v>447</v>
      </c>
      <c r="H715" s="5" t="s">
        <v>448</v>
      </c>
      <c r="I715" s="14" t="s">
        <v>393</v>
      </c>
      <c r="J715" s="164"/>
    </row>
    <row r="716" spans="1:10" ht="28.8" x14ac:dyDescent="0.3">
      <c r="A716" s="158"/>
      <c r="B716" s="161"/>
      <c r="C716" s="161"/>
      <c r="D716" s="14">
        <v>5</v>
      </c>
      <c r="E716" s="4" t="s">
        <v>437</v>
      </c>
      <c r="F716" s="14" t="s">
        <v>464</v>
      </c>
      <c r="G716" s="5" t="s">
        <v>465</v>
      </c>
      <c r="H716" s="5" t="s">
        <v>466</v>
      </c>
      <c r="I716" s="14" t="s">
        <v>393</v>
      </c>
      <c r="J716" s="164"/>
    </row>
    <row r="717" spans="1:10" x14ac:dyDescent="0.3">
      <c r="A717" s="158"/>
      <c r="B717" s="161"/>
      <c r="C717" s="161"/>
      <c r="D717" s="14">
        <v>6</v>
      </c>
      <c r="E717" s="4" t="s">
        <v>439</v>
      </c>
      <c r="F717" s="19" t="s">
        <v>267</v>
      </c>
      <c r="G717" s="5" t="s">
        <v>449</v>
      </c>
      <c r="H717" s="5" t="s">
        <v>450</v>
      </c>
      <c r="I717" s="14" t="s">
        <v>393</v>
      </c>
      <c r="J717" s="164"/>
    </row>
    <row r="718" spans="1:10" ht="29.4" thickBot="1" x14ac:dyDescent="0.35">
      <c r="A718" s="159"/>
      <c r="B718" s="162"/>
      <c r="C718" s="162"/>
      <c r="D718" s="71">
        <v>7</v>
      </c>
      <c r="E718" s="72" t="s">
        <v>440</v>
      </c>
      <c r="F718" s="73" t="s">
        <v>299</v>
      </c>
      <c r="G718" s="74" t="s">
        <v>458</v>
      </c>
      <c r="H718" s="74" t="s">
        <v>462</v>
      </c>
      <c r="I718" s="71" t="s">
        <v>393</v>
      </c>
      <c r="J718" s="165"/>
    </row>
    <row r="719" spans="1:10" ht="15" thickBot="1" x14ac:dyDescent="0.35"/>
    <row r="720" spans="1:10" x14ac:dyDescent="0.3">
      <c r="A720" s="157" t="s">
        <v>467</v>
      </c>
      <c r="B720" s="160" t="s">
        <v>768</v>
      </c>
      <c r="C720" s="160" t="s">
        <v>427</v>
      </c>
      <c r="D720" s="68">
        <v>1</v>
      </c>
      <c r="E720" s="69" t="s">
        <v>442</v>
      </c>
      <c r="F720" s="68" t="s">
        <v>139</v>
      </c>
      <c r="G720" s="70" t="s">
        <v>444</v>
      </c>
      <c r="H720" s="70" t="s">
        <v>390</v>
      </c>
      <c r="I720" s="68" t="s">
        <v>393</v>
      </c>
      <c r="J720" s="163" t="s">
        <v>182</v>
      </c>
    </row>
    <row r="721" spans="1:10" x14ac:dyDescent="0.3">
      <c r="A721" s="158"/>
      <c r="B721" s="161"/>
      <c r="C721" s="161"/>
      <c r="D721" s="14">
        <v>2</v>
      </c>
      <c r="E721" s="4" t="s">
        <v>441</v>
      </c>
      <c r="F721" s="35">
        <v>46213</v>
      </c>
      <c r="G721" s="5" t="s">
        <v>385</v>
      </c>
      <c r="H721" s="5" t="s">
        <v>446</v>
      </c>
      <c r="I721" s="14" t="s">
        <v>393</v>
      </c>
      <c r="J721" s="164"/>
    </row>
    <row r="722" spans="1:10" x14ac:dyDescent="0.3">
      <c r="A722" s="158"/>
      <c r="B722" s="161"/>
      <c r="C722" s="161"/>
      <c r="D722" s="14">
        <v>3</v>
      </c>
      <c r="E722" s="4" t="s">
        <v>433</v>
      </c>
      <c r="F722" s="14" t="s">
        <v>443</v>
      </c>
      <c r="G722" s="5" t="s">
        <v>392</v>
      </c>
      <c r="H722" s="5" t="s">
        <v>285</v>
      </c>
      <c r="I722" s="14" t="s">
        <v>393</v>
      </c>
      <c r="J722" s="164"/>
    </row>
    <row r="723" spans="1:10" x14ac:dyDescent="0.3">
      <c r="A723" s="158"/>
      <c r="B723" s="161"/>
      <c r="C723" s="161"/>
      <c r="D723" s="14">
        <v>4</v>
      </c>
      <c r="E723" s="4" t="s">
        <v>438</v>
      </c>
      <c r="F723" s="14">
        <v>500</v>
      </c>
      <c r="G723" s="5" t="s">
        <v>447</v>
      </c>
      <c r="H723" s="5" t="s">
        <v>448</v>
      </c>
      <c r="I723" s="14" t="s">
        <v>393</v>
      </c>
      <c r="J723" s="164"/>
    </row>
    <row r="724" spans="1:10" x14ac:dyDescent="0.3">
      <c r="A724" s="158"/>
      <c r="B724" s="161"/>
      <c r="C724" s="161"/>
      <c r="D724" s="14">
        <v>5</v>
      </c>
      <c r="E724" s="4" t="s">
        <v>437</v>
      </c>
      <c r="F724" s="14">
        <v>0</v>
      </c>
      <c r="G724" s="5" t="s">
        <v>445</v>
      </c>
      <c r="H724" s="5" t="s">
        <v>448</v>
      </c>
      <c r="I724" s="14" t="s">
        <v>393</v>
      </c>
      <c r="J724" s="164"/>
    </row>
    <row r="725" spans="1:10" x14ac:dyDescent="0.3">
      <c r="A725" s="158"/>
      <c r="B725" s="161"/>
      <c r="C725" s="161"/>
      <c r="D725" s="14">
        <v>6</v>
      </c>
      <c r="E725" s="4" t="s">
        <v>468</v>
      </c>
      <c r="F725" s="19">
        <v>2000</v>
      </c>
      <c r="G725" s="5" t="s">
        <v>449</v>
      </c>
      <c r="H725" s="5" t="s">
        <v>469</v>
      </c>
      <c r="I725" s="14" t="s">
        <v>457</v>
      </c>
      <c r="J725" s="164"/>
    </row>
    <row r="726" spans="1:10" ht="15" thickBot="1" x14ac:dyDescent="0.35">
      <c r="A726" s="159"/>
      <c r="B726" s="162"/>
      <c r="C726" s="162"/>
      <c r="D726" s="71">
        <v>7</v>
      </c>
      <c r="E726" s="72" t="s">
        <v>440</v>
      </c>
      <c r="F726" s="73" t="s">
        <v>299</v>
      </c>
      <c r="G726" s="74" t="s">
        <v>470</v>
      </c>
      <c r="H726" s="74" t="s">
        <v>452</v>
      </c>
      <c r="I726" s="71" t="s">
        <v>457</v>
      </c>
      <c r="J726" s="165"/>
    </row>
    <row r="727" spans="1:10" ht="15" thickBot="1" x14ac:dyDescent="0.35"/>
    <row r="728" spans="1:10" x14ac:dyDescent="0.3">
      <c r="A728" s="157" t="s">
        <v>471</v>
      </c>
      <c r="B728" s="160" t="s">
        <v>769</v>
      </c>
      <c r="C728" s="160" t="s">
        <v>427</v>
      </c>
      <c r="D728" s="68">
        <v>1</v>
      </c>
      <c r="E728" s="69" t="s">
        <v>442</v>
      </c>
      <c r="F728" s="68" t="s">
        <v>153</v>
      </c>
      <c r="G728" s="70" t="s">
        <v>444</v>
      </c>
      <c r="H728" s="70" t="s">
        <v>390</v>
      </c>
      <c r="I728" s="68" t="s">
        <v>393</v>
      </c>
      <c r="J728" s="163" t="s">
        <v>37</v>
      </c>
    </row>
    <row r="729" spans="1:10" x14ac:dyDescent="0.3">
      <c r="A729" s="158"/>
      <c r="B729" s="161"/>
      <c r="C729" s="161"/>
      <c r="D729" s="14">
        <v>2</v>
      </c>
      <c r="E729" s="4" t="s">
        <v>441</v>
      </c>
      <c r="F729" s="35">
        <v>46213</v>
      </c>
      <c r="G729" s="5" t="s">
        <v>385</v>
      </c>
      <c r="H729" s="5" t="s">
        <v>446</v>
      </c>
      <c r="I729" s="14" t="s">
        <v>393</v>
      </c>
      <c r="J729" s="164"/>
    </row>
    <row r="730" spans="1:10" x14ac:dyDescent="0.3">
      <c r="A730" s="158"/>
      <c r="B730" s="161"/>
      <c r="C730" s="161"/>
      <c r="D730" s="14">
        <v>3</v>
      </c>
      <c r="E730" s="4" t="s">
        <v>433</v>
      </c>
      <c r="F730" s="14" t="s">
        <v>472</v>
      </c>
      <c r="G730" s="5" t="s">
        <v>392</v>
      </c>
      <c r="H730" s="5" t="s">
        <v>285</v>
      </c>
      <c r="I730" s="14" t="s">
        <v>393</v>
      </c>
      <c r="J730" s="164"/>
    </row>
    <row r="731" spans="1:10" x14ac:dyDescent="0.3">
      <c r="A731" s="158"/>
      <c r="B731" s="161"/>
      <c r="C731" s="161"/>
      <c r="D731" s="14">
        <v>4</v>
      </c>
      <c r="E731" s="4" t="s">
        <v>438</v>
      </c>
      <c r="F731" s="14">
        <v>6000</v>
      </c>
      <c r="G731" s="5" t="s">
        <v>447</v>
      </c>
      <c r="H731" s="5" t="s">
        <v>448</v>
      </c>
      <c r="I731" s="14" t="s">
        <v>393</v>
      </c>
      <c r="J731" s="164"/>
    </row>
    <row r="732" spans="1:10" x14ac:dyDescent="0.3">
      <c r="A732" s="158"/>
      <c r="B732" s="161"/>
      <c r="C732" s="161"/>
      <c r="D732" s="14">
        <v>5</v>
      </c>
      <c r="E732" s="4" t="s">
        <v>437</v>
      </c>
      <c r="F732" s="14">
        <v>0</v>
      </c>
      <c r="G732" s="5" t="s">
        <v>445</v>
      </c>
      <c r="H732" s="5" t="s">
        <v>448</v>
      </c>
      <c r="I732" s="14" t="s">
        <v>393</v>
      </c>
      <c r="J732" s="164"/>
    </row>
    <row r="733" spans="1:10" x14ac:dyDescent="0.3">
      <c r="A733" s="158"/>
      <c r="B733" s="161"/>
      <c r="C733" s="161"/>
      <c r="D733" s="14">
        <v>6</v>
      </c>
      <c r="E733" s="4" t="s">
        <v>468</v>
      </c>
      <c r="F733" s="19">
        <v>2000</v>
      </c>
      <c r="G733" s="5" t="s">
        <v>449</v>
      </c>
      <c r="H733" s="5" t="s">
        <v>473</v>
      </c>
      <c r="I733" s="14" t="s">
        <v>457</v>
      </c>
      <c r="J733" s="164"/>
    </row>
    <row r="734" spans="1:10" ht="29.4" thickBot="1" x14ac:dyDescent="0.35">
      <c r="A734" s="159"/>
      <c r="B734" s="162"/>
      <c r="C734" s="162"/>
      <c r="D734" s="71">
        <v>7</v>
      </c>
      <c r="E734" s="72" t="s">
        <v>440</v>
      </c>
      <c r="F734" s="73" t="s">
        <v>299</v>
      </c>
      <c r="G734" s="74" t="s">
        <v>470</v>
      </c>
      <c r="H734" s="74" t="s">
        <v>474</v>
      </c>
      <c r="I734" s="71" t="s">
        <v>393</v>
      </c>
      <c r="J734" s="165"/>
    </row>
    <row r="735" spans="1:10" ht="15" thickBot="1" x14ac:dyDescent="0.35"/>
    <row r="736" spans="1:10" x14ac:dyDescent="0.3">
      <c r="A736" s="157" t="s">
        <v>475</v>
      </c>
      <c r="B736" s="160" t="s">
        <v>770</v>
      </c>
      <c r="C736" s="160" t="s">
        <v>427</v>
      </c>
      <c r="D736" s="68">
        <v>1</v>
      </c>
      <c r="E736" s="69" t="s">
        <v>442</v>
      </c>
      <c r="F736" s="68" t="s">
        <v>128</v>
      </c>
      <c r="G736" s="70" t="s">
        <v>444</v>
      </c>
      <c r="H736" s="70" t="s">
        <v>390</v>
      </c>
      <c r="I736" s="68" t="s">
        <v>393</v>
      </c>
      <c r="J736" s="163" t="s">
        <v>37</v>
      </c>
    </row>
    <row r="737" spans="1:10" x14ac:dyDescent="0.3">
      <c r="A737" s="158"/>
      <c r="B737" s="161"/>
      <c r="C737" s="161"/>
      <c r="D737" s="14">
        <v>2</v>
      </c>
      <c r="E737" s="4" t="s">
        <v>441</v>
      </c>
      <c r="F737" s="35">
        <v>46213</v>
      </c>
      <c r="G737" s="5" t="s">
        <v>385</v>
      </c>
      <c r="H737" s="5" t="s">
        <v>446</v>
      </c>
      <c r="I737" s="14" t="s">
        <v>393</v>
      </c>
      <c r="J737" s="164"/>
    </row>
    <row r="738" spans="1:10" x14ac:dyDescent="0.3">
      <c r="A738" s="158"/>
      <c r="B738" s="161"/>
      <c r="C738" s="161"/>
      <c r="D738" s="14">
        <v>3</v>
      </c>
      <c r="E738" s="4" t="s">
        <v>433</v>
      </c>
      <c r="F738" s="14" t="s">
        <v>443</v>
      </c>
      <c r="G738" s="5" t="s">
        <v>392</v>
      </c>
      <c r="H738" s="5" t="s">
        <v>285</v>
      </c>
      <c r="I738" s="14" t="s">
        <v>393</v>
      </c>
      <c r="J738" s="164"/>
    </row>
    <row r="739" spans="1:10" x14ac:dyDescent="0.3">
      <c r="A739" s="158"/>
      <c r="B739" s="161"/>
      <c r="C739" s="161"/>
      <c r="D739" s="14">
        <v>4</v>
      </c>
      <c r="E739" s="4" t="s">
        <v>438</v>
      </c>
      <c r="F739" s="14">
        <v>4124</v>
      </c>
      <c r="G739" s="5" t="s">
        <v>447</v>
      </c>
      <c r="H739" s="5" t="s">
        <v>448</v>
      </c>
      <c r="I739" s="14" t="s">
        <v>393</v>
      </c>
      <c r="J739" s="164"/>
    </row>
    <row r="740" spans="1:10" x14ac:dyDescent="0.3">
      <c r="A740" s="158"/>
      <c r="B740" s="161"/>
      <c r="C740" s="161"/>
      <c r="D740" s="14">
        <v>5</v>
      </c>
      <c r="E740" s="4" t="s">
        <v>437</v>
      </c>
      <c r="F740" s="14">
        <v>10</v>
      </c>
      <c r="G740" s="5" t="s">
        <v>445</v>
      </c>
      <c r="H740" s="5" t="s">
        <v>448</v>
      </c>
      <c r="I740" s="14" t="s">
        <v>393</v>
      </c>
      <c r="J740" s="164"/>
    </row>
    <row r="741" spans="1:10" x14ac:dyDescent="0.3">
      <c r="A741" s="158"/>
      <c r="B741" s="161"/>
      <c r="C741" s="161"/>
      <c r="D741" s="14">
        <v>6</v>
      </c>
      <c r="E741" s="4" t="s">
        <v>439</v>
      </c>
      <c r="F741" s="19" t="s">
        <v>267</v>
      </c>
      <c r="G741" s="5" t="s">
        <v>449</v>
      </c>
      <c r="H741" s="5" t="s">
        <v>450</v>
      </c>
      <c r="I741" s="14" t="s">
        <v>393</v>
      </c>
      <c r="J741" s="164"/>
    </row>
    <row r="742" spans="1:10" ht="15" thickBot="1" x14ac:dyDescent="0.35">
      <c r="A742" s="159"/>
      <c r="B742" s="162"/>
      <c r="C742" s="162"/>
      <c r="D742" s="71">
        <v>7</v>
      </c>
      <c r="E742" s="72" t="s">
        <v>440</v>
      </c>
      <c r="F742" s="73" t="s">
        <v>299</v>
      </c>
      <c r="G742" s="74" t="s">
        <v>451</v>
      </c>
      <c r="H742" s="74" t="s">
        <v>452</v>
      </c>
      <c r="I742" s="71" t="s">
        <v>393</v>
      </c>
      <c r="J742" s="165"/>
    </row>
    <row r="743" spans="1:10" ht="15" thickBot="1" x14ac:dyDescent="0.35"/>
    <row r="744" spans="1:10" x14ac:dyDescent="0.3">
      <c r="A744" s="145" t="s">
        <v>476</v>
      </c>
      <c r="B744" s="148" t="s">
        <v>771</v>
      </c>
      <c r="C744" s="148" t="s">
        <v>427</v>
      </c>
      <c r="D744" s="79">
        <v>1</v>
      </c>
      <c r="E744" s="80" t="s">
        <v>442</v>
      </c>
      <c r="F744" s="79" t="s">
        <v>91</v>
      </c>
      <c r="G744" s="81" t="s">
        <v>444</v>
      </c>
      <c r="H744" s="81" t="s">
        <v>390</v>
      </c>
      <c r="I744" s="79" t="s">
        <v>393</v>
      </c>
      <c r="J744" s="151" t="s">
        <v>37</v>
      </c>
    </row>
    <row r="745" spans="1:10" x14ac:dyDescent="0.3">
      <c r="A745" s="146"/>
      <c r="B745" s="149"/>
      <c r="C745" s="149"/>
      <c r="D745" s="39">
        <v>2</v>
      </c>
      <c r="E745" s="40" t="s">
        <v>441</v>
      </c>
      <c r="F745" s="43">
        <v>46213</v>
      </c>
      <c r="G745" s="41" t="s">
        <v>385</v>
      </c>
      <c r="H745" s="41" t="s">
        <v>446</v>
      </c>
      <c r="I745" s="39" t="s">
        <v>393</v>
      </c>
      <c r="J745" s="152"/>
    </row>
    <row r="746" spans="1:10" x14ac:dyDescent="0.3">
      <c r="A746" s="146"/>
      <c r="B746" s="149"/>
      <c r="C746" s="149"/>
      <c r="D746" s="39">
        <v>3</v>
      </c>
      <c r="E746" s="40" t="s">
        <v>433</v>
      </c>
      <c r="F746" s="39" t="s">
        <v>443</v>
      </c>
      <c r="G746" s="41" t="s">
        <v>392</v>
      </c>
      <c r="H746" s="41" t="s">
        <v>285</v>
      </c>
      <c r="I746" s="39" t="s">
        <v>393</v>
      </c>
      <c r="J746" s="152"/>
    </row>
    <row r="747" spans="1:10" x14ac:dyDescent="0.3">
      <c r="A747" s="146"/>
      <c r="B747" s="149"/>
      <c r="C747" s="149"/>
      <c r="D747" s="39">
        <v>4</v>
      </c>
      <c r="E747" s="40" t="s">
        <v>438</v>
      </c>
      <c r="F747" s="39">
        <v>500</v>
      </c>
      <c r="G747" s="41" t="s">
        <v>447</v>
      </c>
      <c r="H747" s="41" t="s">
        <v>448</v>
      </c>
      <c r="I747" s="39" t="s">
        <v>393</v>
      </c>
      <c r="J747" s="152"/>
    </row>
    <row r="748" spans="1:10" x14ac:dyDescent="0.3">
      <c r="A748" s="146"/>
      <c r="B748" s="149"/>
      <c r="C748" s="149"/>
      <c r="D748" s="39">
        <v>5</v>
      </c>
      <c r="E748" s="40" t="s">
        <v>477</v>
      </c>
      <c r="F748" s="39">
        <v>680</v>
      </c>
      <c r="G748" s="41" t="s">
        <v>447</v>
      </c>
      <c r="H748" s="41" t="s">
        <v>448</v>
      </c>
      <c r="I748" s="39" t="s">
        <v>393</v>
      </c>
      <c r="J748" s="152"/>
    </row>
    <row r="749" spans="1:10" x14ac:dyDescent="0.3">
      <c r="A749" s="146"/>
      <c r="B749" s="149"/>
      <c r="C749" s="149"/>
      <c r="D749" s="39">
        <v>6</v>
      </c>
      <c r="E749" s="40" t="s">
        <v>437</v>
      </c>
      <c r="F749" s="39">
        <v>20</v>
      </c>
      <c r="G749" s="41" t="s">
        <v>445</v>
      </c>
      <c r="H749" s="41" t="s">
        <v>448</v>
      </c>
      <c r="I749" s="39" t="s">
        <v>393</v>
      </c>
      <c r="J749" s="152"/>
    </row>
    <row r="750" spans="1:10" x14ac:dyDescent="0.3">
      <c r="A750" s="146"/>
      <c r="B750" s="149"/>
      <c r="C750" s="149"/>
      <c r="D750" s="39">
        <v>7</v>
      </c>
      <c r="E750" s="40" t="s">
        <v>439</v>
      </c>
      <c r="F750" s="39" t="s">
        <v>267</v>
      </c>
      <c r="G750" s="41" t="s">
        <v>449</v>
      </c>
      <c r="H750" s="41" t="s">
        <v>450</v>
      </c>
      <c r="I750" s="39" t="s">
        <v>393</v>
      </c>
      <c r="J750" s="152"/>
    </row>
    <row r="751" spans="1:10" ht="15" thickBot="1" x14ac:dyDescent="0.35">
      <c r="A751" s="147"/>
      <c r="B751" s="150"/>
      <c r="C751" s="150"/>
      <c r="D751" s="39">
        <v>8</v>
      </c>
      <c r="E751" s="83" t="s">
        <v>440</v>
      </c>
      <c r="F751" s="82" t="s">
        <v>299</v>
      </c>
      <c r="G751" s="84" t="s">
        <v>451</v>
      </c>
      <c r="H751" s="84" t="s">
        <v>452</v>
      </c>
      <c r="I751" s="82" t="s">
        <v>393</v>
      </c>
      <c r="J751" s="153"/>
    </row>
    <row r="752" spans="1:10" ht="15" thickBot="1" x14ac:dyDescent="0.35"/>
    <row r="753" spans="1:10" x14ac:dyDescent="0.3">
      <c r="A753" s="145" t="s">
        <v>478</v>
      </c>
      <c r="B753" s="148" t="s">
        <v>772</v>
      </c>
      <c r="C753" s="148" t="s">
        <v>427</v>
      </c>
      <c r="D753" s="79">
        <v>1</v>
      </c>
      <c r="E753" s="80" t="s">
        <v>442</v>
      </c>
      <c r="F753" s="79" t="s">
        <v>91</v>
      </c>
      <c r="G753" s="81" t="s">
        <v>444</v>
      </c>
      <c r="H753" s="81" t="s">
        <v>390</v>
      </c>
      <c r="I753" s="79" t="s">
        <v>393</v>
      </c>
      <c r="J753" s="151" t="s">
        <v>37</v>
      </c>
    </row>
    <row r="754" spans="1:10" x14ac:dyDescent="0.3">
      <c r="A754" s="146"/>
      <c r="B754" s="149"/>
      <c r="C754" s="149"/>
      <c r="D754" s="39">
        <v>2</v>
      </c>
      <c r="E754" s="40" t="s">
        <v>441</v>
      </c>
      <c r="F754" s="43">
        <v>46213</v>
      </c>
      <c r="G754" s="41" t="s">
        <v>385</v>
      </c>
      <c r="H754" s="41" t="s">
        <v>446</v>
      </c>
      <c r="I754" s="39" t="s">
        <v>393</v>
      </c>
      <c r="J754" s="152"/>
    </row>
    <row r="755" spans="1:10" x14ac:dyDescent="0.3">
      <c r="A755" s="146"/>
      <c r="B755" s="149"/>
      <c r="C755" s="149"/>
      <c r="D755" s="39">
        <v>3</v>
      </c>
      <c r="E755" s="40" t="s">
        <v>433</v>
      </c>
      <c r="F755" s="39" t="s">
        <v>443</v>
      </c>
      <c r="G755" s="41" t="s">
        <v>392</v>
      </c>
      <c r="H755" s="41" t="s">
        <v>285</v>
      </c>
      <c r="I755" s="39" t="s">
        <v>393</v>
      </c>
      <c r="J755" s="152"/>
    </row>
    <row r="756" spans="1:10" x14ac:dyDescent="0.3">
      <c r="A756" s="146"/>
      <c r="B756" s="149"/>
      <c r="C756" s="149"/>
      <c r="D756" s="39">
        <v>4</v>
      </c>
      <c r="E756" s="40" t="s">
        <v>437</v>
      </c>
      <c r="F756" s="39">
        <v>0</v>
      </c>
      <c r="G756" s="41" t="s">
        <v>445</v>
      </c>
      <c r="H756" s="41" t="s">
        <v>448</v>
      </c>
      <c r="I756" s="39" t="s">
        <v>393</v>
      </c>
      <c r="J756" s="152"/>
    </row>
    <row r="757" spans="1:10" x14ac:dyDescent="0.3">
      <c r="A757" s="146"/>
      <c r="B757" s="149"/>
      <c r="C757" s="149"/>
      <c r="D757" s="39">
        <v>5</v>
      </c>
      <c r="E757" s="40" t="s">
        <v>439</v>
      </c>
      <c r="F757" s="39" t="s">
        <v>267</v>
      </c>
      <c r="G757" s="41" t="s">
        <v>449</v>
      </c>
      <c r="H757" s="41" t="s">
        <v>450</v>
      </c>
      <c r="I757" s="39" t="s">
        <v>393</v>
      </c>
      <c r="J757" s="152"/>
    </row>
    <row r="758" spans="1:10" ht="15" thickBot="1" x14ac:dyDescent="0.35">
      <c r="A758" s="147"/>
      <c r="B758" s="150"/>
      <c r="C758" s="150"/>
      <c r="D758" s="39">
        <v>6</v>
      </c>
      <c r="E758" s="83" t="s">
        <v>440</v>
      </c>
      <c r="F758" s="82" t="s">
        <v>299</v>
      </c>
      <c r="G758" s="84" t="s">
        <v>458</v>
      </c>
      <c r="H758" s="84" t="s">
        <v>479</v>
      </c>
      <c r="I758" s="82" t="s">
        <v>393</v>
      </c>
      <c r="J758" s="153"/>
    </row>
  </sheetData>
  <mergeCells count="218">
    <mergeCell ref="A753:A758"/>
    <mergeCell ref="B753:B758"/>
    <mergeCell ref="C753:C758"/>
    <mergeCell ref="J753:J758"/>
    <mergeCell ref="A728:A734"/>
    <mergeCell ref="B728:B734"/>
    <mergeCell ref="C728:C734"/>
    <mergeCell ref="J728:J734"/>
    <mergeCell ref="A736:A742"/>
    <mergeCell ref="B736:B742"/>
    <mergeCell ref="C736:C742"/>
    <mergeCell ref="J736:J742"/>
    <mergeCell ref="A744:A751"/>
    <mergeCell ref="B744:B751"/>
    <mergeCell ref="C744:C751"/>
    <mergeCell ref="J744:J751"/>
    <mergeCell ref="A704:A710"/>
    <mergeCell ref="B704:B710"/>
    <mergeCell ref="C704:C710"/>
    <mergeCell ref="J704:J710"/>
    <mergeCell ref="A712:A718"/>
    <mergeCell ref="B712:B718"/>
    <mergeCell ref="C712:C718"/>
    <mergeCell ref="J712:J718"/>
    <mergeCell ref="A720:A726"/>
    <mergeCell ref="B720:B726"/>
    <mergeCell ref="C720:C726"/>
    <mergeCell ref="J720:J726"/>
    <mergeCell ref="A686:J686"/>
    <mergeCell ref="J687:J693"/>
    <mergeCell ref="C687:C693"/>
    <mergeCell ref="B687:B693"/>
    <mergeCell ref="A687:A693"/>
    <mergeCell ref="A695:A702"/>
    <mergeCell ref="B695:B702"/>
    <mergeCell ref="C695:C702"/>
    <mergeCell ref="J695:J702"/>
    <mergeCell ref="A655:A664"/>
    <mergeCell ref="B655:B664"/>
    <mergeCell ref="C655:C664"/>
    <mergeCell ref="J655:J664"/>
    <mergeCell ref="A666:A674"/>
    <mergeCell ref="B666:B674"/>
    <mergeCell ref="C666:C674"/>
    <mergeCell ref="J666:J674"/>
    <mergeCell ref="A676:A684"/>
    <mergeCell ref="B676:B684"/>
    <mergeCell ref="C676:C684"/>
    <mergeCell ref="J676:J684"/>
    <mergeCell ref="A636:A643"/>
    <mergeCell ref="B636:B643"/>
    <mergeCell ref="C636:C643"/>
    <mergeCell ref="J636:J643"/>
    <mergeCell ref="J645:J653"/>
    <mergeCell ref="C645:C653"/>
    <mergeCell ref="B645:B653"/>
    <mergeCell ref="A645:A653"/>
    <mergeCell ref="A626:J626"/>
    <mergeCell ref="C627:C634"/>
    <mergeCell ref="B627:B634"/>
    <mergeCell ref="A627:A634"/>
    <mergeCell ref="J627:J634"/>
    <mergeCell ref="A1:J1"/>
    <mergeCell ref="J4:J19"/>
    <mergeCell ref="C4:C19"/>
    <mergeCell ref="B4:B19"/>
    <mergeCell ref="A4:A19"/>
    <mergeCell ref="A530:J530"/>
    <mergeCell ref="A3:J3"/>
    <mergeCell ref="A52:A70"/>
    <mergeCell ref="B52:B70"/>
    <mergeCell ref="C52:C70"/>
    <mergeCell ref="J52:J70"/>
    <mergeCell ref="A21:A33"/>
    <mergeCell ref="B21:B33"/>
    <mergeCell ref="C21:C33"/>
    <mergeCell ref="J21:J33"/>
    <mergeCell ref="A35:A50"/>
    <mergeCell ref="B35:B50"/>
    <mergeCell ref="C35:C50"/>
    <mergeCell ref="J35:J50"/>
    <mergeCell ref="A89:A104"/>
    <mergeCell ref="B89:B104"/>
    <mergeCell ref="C89:C104"/>
    <mergeCell ref="J89:J104"/>
    <mergeCell ref="A106:A121"/>
    <mergeCell ref="B106:B121"/>
    <mergeCell ref="C106:C121"/>
    <mergeCell ref="J106:J121"/>
    <mergeCell ref="A72:A87"/>
    <mergeCell ref="B72:B87"/>
    <mergeCell ref="C72:C87"/>
    <mergeCell ref="J72:J87"/>
    <mergeCell ref="A159:A176"/>
    <mergeCell ref="B159:B176"/>
    <mergeCell ref="C159:C176"/>
    <mergeCell ref="J159:J176"/>
    <mergeCell ref="A178:A195"/>
    <mergeCell ref="B178:B195"/>
    <mergeCell ref="C178:C195"/>
    <mergeCell ref="J178:J195"/>
    <mergeCell ref="A123:A138"/>
    <mergeCell ref="B123:B138"/>
    <mergeCell ref="C123:C138"/>
    <mergeCell ref="J123:J138"/>
    <mergeCell ref="A141:A157"/>
    <mergeCell ref="B141:B157"/>
    <mergeCell ref="C141:C157"/>
    <mergeCell ref="J141:J157"/>
    <mergeCell ref="A235:A252"/>
    <mergeCell ref="B235:B252"/>
    <mergeCell ref="C235:C252"/>
    <mergeCell ref="J235:J252"/>
    <mergeCell ref="A254:A271"/>
    <mergeCell ref="B254:B271"/>
    <mergeCell ref="C254:C271"/>
    <mergeCell ref="J254:J271"/>
    <mergeCell ref="A197:A214"/>
    <mergeCell ref="B197:B214"/>
    <mergeCell ref="C197:C214"/>
    <mergeCell ref="J197:J214"/>
    <mergeCell ref="A216:A233"/>
    <mergeCell ref="B216:B233"/>
    <mergeCell ref="C216:C233"/>
    <mergeCell ref="J216:J233"/>
    <mergeCell ref="A313:J313"/>
    <mergeCell ref="A315:A330"/>
    <mergeCell ref="B315:B330"/>
    <mergeCell ref="C315:C330"/>
    <mergeCell ref="J315:J330"/>
    <mergeCell ref="A273:A290"/>
    <mergeCell ref="B273:B290"/>
    <mergeCell ref="C273:C290"/>
    <mergeCell ref="J273:J290"/>
    <mergeCell ref="A292:A309"/>
    <mergeCell ref="B292:B309"/>
    <mergeCell ref="C292:C309"/>
    <mergeCell ref="J292:J309"/>
    <mergeCell ref="A363:A381"/>
    <mergeCell ref="B363:B381"/>
    <mergeCell ref="C363:C381"/>
    <mergeCell ref="J363:J381"/>
    <mergeCell ref="A383:A398"/>
    <mergeCell ref="B383:B398"/>
    <mergeCell ref="C383:C398"/>
    <mergeCell ref="J383:J398"/>
    <mergeCell ref="A332:A344"/>
    <mergeCell ref="B332:B344"/>
    <mergeCell ref="C332:C344"/>
    <mergeCell ref="J332:J344"/>
    <mergeCell ref="A346:A361"/>
    <mergeCell ref="B346:B361"/>
    <mergeCell ref="C346:C361"/>
    <mergeCell ref="J346:J361"/>
    <mergeCell ref="A434:A449"/>
    <mergeCell ref="B434:B449"/>
    <mergeCell ref="C434:C449"/>
    <mergeCell ref="J434:J449"/>
    <mergeCell ref="A452:A468"/>
    <mergeCell ref="B452:B468"/>
    <mergeCell ref="C452:C468"/>
    <mergeCell ref="J452:J468"/>
    <mergeCell ref="A400:A415"/>
    <mergeCell ref="B400:B415"/>
    <mergeCell ref="C400:C415"/>
    <mergeCell ref="J400:J415"/>
    <mergeCell ref="A417:A432"/>
    <mergeCell ref="B417:B432"/>
    <mergeCell ref="C417:C432"/>
    <mergeCell ref="J417:J432"/>
    <mergeCell ref="A509:A526"/>
    <mergeCell ref="B509:B526"/>
    <mergeCell ref="C509:C526"/>
    <mergeCell ref="J509:J526"/>
    <mergeCell ref="A470:A487"/>
    <mergeCell ref="B470:B487"/>
    <mergeCell ref="C470:C487"/>
    <mergeCell ref="J470:J487"/>
    <mergeCell ref="A489:A506"/>
    <mergeCell ref="B489:B506"/>
    <mergeCell ref="C489:C506"/>
    <mergeCell ref="J489:J506"/>
    <mergeCell ref="J557:J566"/>
    <mergeCell ref="C557:C566"/>
    <mergeCell ref="B557:B566"/>
    <mergeCell ref="A557:A566"/>
    <mergeCell ref="A570:A579"/>
    <mergeCell ref="B570:B579"/>
    <mergeCell ref="C570:C579"/>
    <mergeCell ref="J570:J579"/>
    <mergeCell ref="A532:A538"/>
    <mergeCell ref="B532:B538"/>
    <mergeCell ref="C532:C538"/>
    <mergeCell ref="J532:J538"/>
    <mergeCell ref="A540:A546"/>
    <mergeCell ref="B540:B546"/>
    <mergeCell ref="C540:C546"/>
    <mergeCell ref="J540:J546"/>
    <mergeCell ref="A548:A555"/>
    <mergeCell ref="B548:B555"/>
    <mergeCell ref="C548:C555"/>
    <mergeCell ref="J548:J555"/>
    <mergeCell ref="A614:A623"/>
    <mergeCell ref="B614:B623"/>
    <mergeCell ref="C614:C623"/>
    <mergeCell ref="J614:J623"/>
    <mergeCell ref="A581:A590"/>
    <mergeCell ref="B581:B590"/>
    <mergeCell ref="C581:C590"/>
    <mergeCell ref="J581:J590"/>
    <mergeCell ref="A592:A601"/>
    <mergeCell ref="B592:B601"/>
    <mergeCell ref="C592:C601"/>
    <mergeCell ref="J592:J601"/>
    <mergeCell ref="A603:A612"/>
    <mergeCell ref="B603:B612"/>
    <mergeCell ref="C603:C612"/>
    <mergeCell ref="J603:J612"/>
  </mergeCells>
  <conditionalFormatting sqref="J1:J557 J567:J570 J580:J581 J591:J592 J602:J603 J613:J614 J624:J627 J635:J636 J644:J645 J654:J655 J665:J666 J675:J676 J685:J687 J694:J695 J703:J704 J711:J712 J719:J720 J727:J728 J735:J736 J743 J752 J759:J1048576">
    <cfRule type="containsText" dxfId="25" priority="1" operator="containsText" text="Fail">
      <formula>NOT(ISERROR(SEARCH("Fail",J1)))</formula>
    </cfRule>
    <cfRule type="containsText" dxfId="24" priority="2" operator="containsText" text="Pass">
      <formula>NOT(ISERROR(SEARCH("Pass",J1)))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80EC008D-6C27-4447-B3A0-B3AFA02591D1}">
          <x14:formula1>
            <xm:f>Introduction!$AH$17:$AH$20</xm:f>
          </x14:formula1>
          <xm:sqref>F4 F21 F123 F141 F159 F178 F197 F216 F235 F254 F273 F292 F315 F332 F434 F452 F470 F489 F509 F687 F695 F704 F712 F720 F728 F736</xm:sqref>
        </x14:dataValidation>
        <x14:dataValidation type="list" allowBlank="1" showInputMessage="1" showErrorMessage="1" xr:uid="{0B93C1AD-ABC5-4998-B891-305401C1A715}">
          <x14:formula1>
            <xm:f>Introduction!$AI$17:$AI$21</xm:f>
          </x14:formula1>
          <xm:sqref>F7 F126 F144 F162 F181 F200 F219 F238 F257 F276 F295 F318 F437 F455 F473 F492 F512 F631 F640 F649 W658 F659 F670 F680</xm:sqref>
        </x14:dataValidation>
        <x14:dataValidation type="list" allowBlank="1" showInputMessage="1" showErrorMessage="1" xr:uid="{BFC34CE0-1C2E-40C1-9967-878187852A7D}">
          <x14:formula1>
            <xm:f>Introduction!$AN$17:$AN$21</xm:f>
          </x14:formula1>
          <xm:sqref>F18 F137 F156 F175 F194 F213 F232 F251 F270 F289 F308 F329 F448 F467 F486 F505 F525</xm:sqref>
        </x14:dataValidation>
        <x14:dataValidation type="list" allowBlank="1" showInputMessage="1" showErrorMessage="1" xr:uid="{383C21E9-CAE0-4F3D-BA14-54110FEEC764}">
          <x14:formula1>
            <xm:f>Introduction!$AM$17:$AM$26</xm:f>
          </x14:formula1>
          <xm:sqref>F10 F129 F147 F165 F184 F203 F222 F241 F260 F279 F298 F321 F440 F458 F476 F495 F515</xm:sqref>
        </x14:dataValidation>
        <x14:dataValidation type="list" allowBlank="1" showInputMessage="1" showErrorMessage="1" xr:uid="{943ABB08-43D2-4FDA-BA95-41CC4A5D9802}">
          <x14:formula1>
            <xm:f>Introduction!$AP$17:$AP$21</xm:f>
          </x14:formula1>
          <xm:sqref>F13 F132 F151 F170 F189 F208 F227 F246 F265 F284 F303 F324 F443 F462 F481 F500 F520 F532 F540 F548 F557 F570 F581 F592 F603 F614</xm:sqref>
        </x14:dataValidation>
        <x14:dataValidation type="list" allowBlank="1" showInputMessage="1" showErrorMessage="1" xr:uid="{85CD6B93-A424-4879-93C1-66DC37EED1E8}">
          <x14:formula1>
            <xm:f>Introduction!$AR$16:$AR$20</xm:f>
          </x14:formula1>
          <xm:sqref>F534 F542 F550 F559 F572 F583 F594 F605 F616 F627 F636 F645 F655 F666 F676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E6BA2-1CE7-4B2E-839F-9A1AF773F6E0}">
  <sheetPr codeName="Sheet6"/>
  <dimension ref="A1:CF317"/>
  <sheetViews>
    <sheetView zoomScale="78" zoomScaleNormal="78" workbookViewId="0">
      <pane xSplit="1" ySplit="2" topLeftCell="B3" activePane="bottomRight" state="frozen"/>
      <selection pane="topRight" activeCell="B1" sqref="B1"/>
      <selection pane="bottomLeft" activeCell="A3" sqref="A3"/>
      <selection pane="bottomRight" activeCell="A3" sqref="A3:J3"/>
    </sheetView>
  </sheetViews>
  <sheetFormatPr defaultRowHeight="14.4" x14ac:dyDescent="0.25"/>
  <cols>
    <col min="1" max="1" width="9.77734375" style="17" customWidth="1"/>
    <col min="2" max="2" width="28.33203125" style="26" customWidth="1"/>
    <col min="3" max="3" width="25.44140625" style="26" customWidth="1"/>
    <col min="4" max="4" width="8.33203125" style="17" bestFit="1" customWidth="1"/>
    <col min="5" max="5" width="38.33203125" style="91" customWidth="1"/>
    <col min="6" max="6" width="36" style="17" bestFit="1" customWidth="1"/>
    <col min="7" max="7" width="56.44140625" style="91" bestFit="1" customWidth="1"/>
    <col min="8" max="8" width="30.21875" style="91" bestFit="1" customWidth="1"/>
    <col min="9" max="9" width="10.77734375" style="17" customWidth="1"/>
    <col min="10" max="10" width="11.109375" style="52" customWidth="1"/>
    <col min="11" max="11" width="8.88671875" style="90"/>
    <col min="12" max="12" width="38.109375" style="90" bestFit="1" customWidth="1"/>
    <col min="13" max="16384" width="8.88671875" style="90"/>
  </cols>
  <sheetData>
    <row r="1" spans="1:17" ht="36.6" customHeight="1" thickBot="1" x14ac:dyDescent="0.3">
      <c r="A1" s="178" t="s">
        <v>665</v>
      </c>
      <c r="B1" s="179"/>
      <c r="C1" s="179"/>
      <c r="D1" s="179"/>
      <c r="E1" s="179"/>
      <c r="F1" s="179"/>
      <c r="G1" s="179"/>
      <c r="H1" s="179"/>
      <c r="I1" s="179"/>
      <c r="J1" s="180"/>
      <c r="K1" s="1"/>
      <c r="N1" s="64" t="s">
        <v>37</v>
      </c>
      <c r="O1" s="66">
        <f>COUNTIF(J:J,"Pass")</f>
        <v>21</v>
      </c>
      <c r="P1" s="65" t="s">
        <v>182</v>
      </c>
      <c r="Q1" s="66">
        <f>COUNTIF(J:J,"Fail")</f>
        <v>11</v>
      </c>
    </row>
    <row r="2" spans="1:17" ht="30" customHeight="1" thickBot="1" x14ac:dyDescent="0.3">
      <c r="A2" s="48" t="s">
        <v>24</v>
      </c>
      <c r="B2" s="49" t="s">
        <v>25</v>
      </c>
      <c r="C2" s="49" t="s">
        <v>18</v>
      </c>
      <c r="D2" s="50" t="s">
        <v>26</v>
      </c>
      <c r="E2" s="50" t="s">
        <v>27</v>
      </c>
      <c r="F2" s="50" t="s">
        <v>28</v>
      </c>
      <c r="G2" s="49" t="s">
        <v>29</v>
      </c>
      <c r="H2" s="49" t="s">
        <v>30</v>
      </c>
      <c r="I2" s="50" t="s">
        <v>31</v>
      </c>
      <c r="J2" s="51" t="s">
        <v>32</v>
      </c>
      <c r="K2" s="1"/>
    </row>
    <row r="3" spans="1:17" ht="15.6" customHeight="1" thickBot="1" x14ac:dyDescent="0.3">
      <c r="A3" s="154" t="s">
        <v>482</v>
      </c>
      <c r="B3" s="155"/>
      <c r="C3" s="155"/>
      <c r="D3" s="155"/>
      <c r="E3" s="155"/>
      <c r="F3" s="155"/>
      <c r="G3" s="155"/>
      <c r="H3" s="155"/>
      <c r="I3" s="155"/>
      <c r="J3" s="156"/>
      <c r="K3" s="1"/>
    </row>
    <row r="4" spans="1:17" ht="21.6" customHeight="1" x14ac:dyDescent="0.25">
      <c r="A4" s="184" t="s">
        <v>502</v>
      </c>
      <c r="B4" s="181" t="s">
        <v>741</v>
      </c>
      <c r="C4" s="181" t="s">
        <v>491</v>
      </c>
      <c r="D4" s="68">
        <v>1</v>
      </c>
      <c r="E4" s="99" t="s">
        <v>503</v>
      </c>
      <c r="F4" s="68" t="s">
        <v>487</v>
      </c>
      <c r="G4" s="99" t="s">
        <v>326</v>
      </c>
      <c r="H4" s="99" t="s">
        <v>504</v>
      </c>
      <c r="I4" s="68" t="s">
        <v>393</v>
      </c>
      <c r="J4" s="168" t="s">
        <v>37</v>
      </c>
    </row>
    <row r="5" spans="1:17" ht="15" customHeight="1" x14ac:dyDescent="0.25">
      <c r="A5" s="185"/>
      <c r="B5" s="182"/>
      <c r="C5" s="182"/>
      <c r="D5" s="14">
        <v>2</v>
      </c>
      <c r="E5" s="96" t="s">
        <v>601</v>
      </c>
      <c r="F5" s="35">
        <v>46336</v>
      </c>
      <c r="G5" s="96" t="s">
        <v>508</v>
      </c>
      <c r="H5" s="96" t="s">
        <v>285</v>
      </c>
      <c r="I5" s="14" t="s">
        <v>393</v>
      </c>
      <c r="J5" s="169"/>
    </row>
    <row r="6" spans="1:17" ht="15" customHeight="1" thickBot="1" x14ac:dyDescent="0.3">
      <c r="A6" s="185"/>
      <c r="B6" s="182"/>
      <c r="C6" s="182"/>
      <c r="D6" s="14">
        <v>3</v>
      </c>
      <c r="E6" s="96" t="s">
        <v>505</v>
      </c>
      <c r="F6" s="14" t="s">
        <v>506</v>
      </c>
      <c r="G6" s="96" t="s">
        <v>507</v>
      </c>
      <c r="H6" s="96" t="s">
        <v>509</v>
      </c>
      <c r="I6" s="14" t="s">
        <v>393</v>
      </c>
      <c r="J6" s="169"/>
    </row>
    <row r="7" spans="1:17" ht="15" customHeight="1" x14ac:dyDescent="0.25">
      <c r="A7" s="185"/>
      <c r="B7" s="182"/>
      <c r="C7" s="182"/>
      <c r="D7" s="68">
        <v>4</v>
      </c>
      <c r="E7" s="96" t="s">
        <v>619</v>
      </c>
      <c r="F7" s="14" t="s">
        <v>620</v>
      </c>
      <c r="G7" s="96" t="s">
        <v>507</v>
      </c>
      <c r="H7" s="96" t="s">
        <v>509</v>
      </c>
      <c r="I7" s="14" t="s">
        <v>393</v>
      </c>
      <c r="J7" s="169"/>
    </row>
    <row r="8" spans="1:17" ht="15" customHeight="1" x14ac:dyDescent="0.25">
      <c r="A8" s="185"/>
      <c r="B8" s="182"/>
      <c r="C8" s="182"/>
      <c r="D8" s="14">
        <v>5</v>
      </c>
      <c r="E8" s="96" t="s">
        <v>510</v>
      </c>
      <c r="F8" s="14" t="s">
        <v>174</v>
      </c>
      <c r="G8" s="96" t="s">
        <v>326</v>
      </c>
      <c r="H8" s="96" t="s">
        <v>511</v>
      </c>
      <c r="I8" s="14" t="s">
        <v>393</v>
      </c>
      <c r="J8" s="169"/>
    </row>
    <row r="9" spans="1:17" ht="15" customHeight="1" thickBot="1" x14ac:dyDescent="0.3">
      <c r="A9" s="185"/>
      <c r="B9" s="182"/>
      <c r="C9" s="182"/>
      <c r="D9" s="14">
        <v>6</v>
      </c>
      <c r="E9" s="96" t="s">
        <v>512</v>
      </c>
      <c r="F9" s="19" t="s">
        <v>299</v>
      </c>
      <c r="G9" s="96" t="s">
        <v>513</v>
      </c>
      <c r="H9" s="96" t="s">
        <v>514</v>
      </c>
      <c r="I9" s="14" t="s">
        <v>393</v>
      </c>
      <c r="J9" s="169"/>
    </row>
    <row r="10" spans="1:17" ht="15" customHeight="1" x14ac:dyDescent="0.25">
      <c r="A10" s="185"/>
      <c r="B10" s="182"/>
      <c r="C10" s="182"/>
      <c r="D10" s="68">
        <v>7</v>
      </c>
      <c r="E10" s="96" t="s">
        <v>515</v>
      </c>
      <c r="F10" s="14" t="s">
        <v>166</v>
      </c>
      <c r="G10" s="96" t="s">
        <v>326</v>
      </c>
      <c r="H10" s="96" t="s">
        <v>516</v>
      </c>
      <c r="I10" s="14" t="s">
        <v>393</v>
      </c>
      <c r="J10" s="169"/>
    </row>
    <row r="11" spans="1:17" ht="15" customHeight="1" x14ac:dyDescent="0.25">
      <c r="A11" s="185"/>
      <c r="B11" s="182"/>
      <c r="C11" s="182"/>
      <c r="D11" s="14">
        <v>8</v>
      </c>
      <c r="E11" s="96" t="s">
        <v>518</v>
      </c>
      <c r="F11" s="14">
        <v>2</v>
      </c>
      <c r="G11" s="96" t="s">
        <v>517</v>
      </c>
      <c r="H11" s="96" t="s">
        <v>285</v>
      </c>
      <c r="I11" s="14" t="s">
        <v>393</v>
      </c>
      <c r="J11" s="169"/>
    </row>
    <row r="12" spans="1:17" ht="15" customHeight="1" thickBot="1" x14ac:dyDescent="0.3">
      <c r="A12" s="185"/>
      <c r="B12" s="182"/>
      <c r="C12" s="182"/>
      <c r="D12" s="14">
        <v>9</v>
      </c>
      <c r="E12" s="96" t="s">
        <v>533</v>
      </c>
      <c r="F12" s="14" t="s">
        <v>534</v>
      </c>
      <c r="G12" s="96" t="s">
        <v>508</v>
      </c>
      <c r="H12" s="96" t="s">
        <v>285</v>
      </c>
      <c r="I12" s="14" t="s">
        <v>393</v>
      </c>
      <c r="J12" s="169"/>
    </row>
    <row r="13" spans="1:17" ht="15" customHeight="1" x14ac:dyDescent="0.25">
      <c r="A13" s="185"/>
      <c r="B13" s="182"/>
      <c r="C13" s="182"/>
      <c r="D13" s="68">
        <v>10</v>
      </c>
      <c r="E13" s="96" t="s">
        <v>519</v>
      </c>
      <c r="F13" s="14">
        <v>290</v>
      </c>
      <c r="G13" s="96" t="s">
        <v>517</v>
      </c>
      <c r="H13" s="96" t="s">
        <v>285</v>
      </c>
      <c r="I13" s="14" t="s">
        <v>393</v>
      </c>
      <c r="J13" s="169"/>
    </row>
    <row r="14" spans="1:17" ht="15" customHeight="1" x14ac:dyDescent="0.25">
      <c r="A14" s="185"/>
      <c r="B14" s="182"/>
      <c r="C14" s="182"/>
      <c r="D14" s="14">
        <v>11</v>
      </c>
      <c r="E14" s="96" t="s">
        <v>83</v>
      </c>
      <c r="F14" s="19" t="s">
        <v>267</v>
      </c>
      <c r="G14" s="96" t="s">
        <v>102</v>
      </c>
      <c r="H14" s="96" t="s">
        <v>113</v>
      </c>
      <c r="I14" s="14" t="s">
        <v>393</v>
      </c>
      <c r="J14" s="169"/>
    </row>
    <row r="15" spans="1:17" ht="15.6" customHeight="1" thickBot="1" x14ac:dyDescent="0.3">
      <c r="A15" s="186"/>
      <c r="B15" s="183"/>
      <c r="C15" s="183"/>
      <c r="D15" s="14">
        <v>12</v>
      </c>
      <c r="E15" s="100" t="s">
        <v>520</v>
      </c>
      <c r="F15" s="73" t="s">
        <v>267</v>
      </c>
      <c r="G15" s="100" t="s">
        <v>521</v>
      </c>
      <c r="H15" s="100" t="s">
        <v>522</v>
      </c>
      <c r="I15" s="71" t="s">
        <v>393</v>
      </c>
      <c r="J15" s="171"/>
    </row>
    <row r="16" spans="1:17" ht="15" thickBot="1" x14ac:dyDescent="0.3"/>
    <row r="17" spans="1:10" x14ac:dyDescent="0.25">
      <c r="A17" s="184" t="s">
        <v>523</v>
      </c>
      <c r="B17" s="181" t="s">
        <v>742</v>
      </c>
      <c r="C17" s="181" t="s">
        <v>491</v>
      </c>
      <c r="D17" s="68">
        <v>1</v>
      </c>
      <c r="E17" s="99" t="s">
        <v>503</v>
      </c>
      <c r="F17" s="68" t="s">
        <v>489</v>
      </c>
      <c r="G17" s="99" t="s">
        <v>326</v>
      </c>
      <c r="H17" s="99" t="s">
        <v>504</v>
      </c>
      <c r="I17" s="68" t="s">
        <v>393</v>
      </c>
      <c r="J17" s="168" t="s">
        <v>182</v>
      </c>
    </row>
    <row r="18" spans="1:10" x14ac:dyDescent="0.25">
      <c r="A18" s="185"/>
      <c r="B18" s="182"/>
      <c r="C18" s="182"/>
      <c r="D18" s="14">
        <v>2</v>
      </c>
      <c r="E18" s="96" t="s">
        <v>601</v>
      </c>
      <c r="F18" s="35" t="s">
        <v>524</v>
      </c>
      <c r="G18" s="96" t="s">
        <v>525</v>
      </c>
      <c r="H18" s="96" t="s">
        <v>526</v>
      </c>
      <c r="I18" s="14" t="s">
        <v>457</v>
      </c>
      <c r="J18" s="169"/>
    </row>
    <row r="19" spans="1:10" ht="15" thickBot="1" x14ac:dyDescent="0.3">
      <c r="A19" s="185"/>
      <c r="B19" s="182"/>
      <c r="C19" s="182"/>
      <c r="D19" s="14">
        <v>3</v>
      </c>
      <c r="E19" s="96" t="s">
        <v>505</v>
      </c>
      <c r="F19" s="14" t="s">
        <v>506</v>
      </c>
      <c r="G19" s="96" t="s">
        <v>507</v>
      </c>
      <c r="H19" s="96" t="s">
        <v>509</v>
      </c>
      <c r="I19" s="14" t="s">
        <v>393</v>
      </c>
      <c r="J19" s="169"/>
    </row>
    <row r="20" spans="1:10" x14ac:dyDescent="0.25">
      <c r="A20" s="185"/>
      <c r="B20" s="182"/>
      <c r="C20" s="182"/>
      <c r="D20" s="68">
        <v>4</v>
      </c>
      <c r="E20" s="101" t="s">
        <v>619</v>
      </c>
      <c r="F20" s="36" t="s">
        <v>620</v>
      </c>
      <c r="G20" s="102" t="s">
        <v>507</v>
      </c>
      <c r="H20" s="102" t="s">
        <v>509</v>
      </c>
      <c r="I20" s="36" t="s">
        <v>393</v>
      </c>
      <c r="J20" s="169"/>
    </row>
    <row r="21" spans="1:10" x14ac:dyDescent="0.25">
      <c r="A21" s="185"/>
      <c r="B21" s="182"/>
      <c r="C21" s="182"/>
      <c r="D21" s="14">
        <v>5</v>
      </c>
      <c r="E21" s="96" t="s">
        <v>510</v>
      </c>
      <c r="F21" s="14" t="s">
        <v>172</v>
      </c>
      <c r="G21" s="96" t="s">
        <v>326</v>
      </c>
      <c r="H21" s="96" t="s">
        <v>511</v>
      </c>
      <c r="I21" s="14" t="s">
        <v>393</v>
      </c>
      <c r="J21" s="169"/>
    </row>
    <row r="22" spans="1:10" ht="15" thickBot="1" x14ac:dyDescent="0.3">
      <c r="A22" s="185"/>
      <c r="B22" s="182"/>
      <c r="C22" s="182"/>
      <c r="D22" s="14">
        <v>6</v>
      </c>
      <c r="E22" s="96" t="s">
        <v>512</v>
      </c>
      <c r="F22" s="19" t="s">
        <v>299</v>
      </c>
      <c r="G22" s="96" t="s">
        <v>513</v>
      </c>
      <c r="H22" s="96" t="s">
        <v>514</v>
      </c>
      <c r="I22" s="14" t="s">
        <v>393</v>
      </c>
      <c r="J22" s="169"/>
    </row>
    <row r="23" spans="1:10" x14ac:dyDescent="0.25">
      <c r="A23" s="185"/>
      <c r="B23" s="182"/>
      <c r="C23" s="182"/>
      <c r="D23" s="68">
        <v>7</v>
      </c>
      <c r="E23" s="96" t="s">
        <v>515</v>
      </c>
      <c r="F23" s="14" t="s">
        <v>169</v>
      </c>
      <c r="G23" s="96" t="s">
        <v>326</v>
      </c>
      <c r="H23" s="96" t="s">
        <v>516</v>
      </c>
      <c r="I23" s="14" t="s">
        <v>393</v>
      </c>
      <c r="J23" s="169"/>
    </row>
    <row r="24" spans="1:10" x14ac:dyDescent="0.25">
      <c r="A24" s="185"/>
      <c r="B24" s="182"/>
      <c r="C24" s="182"/>
      <c r="D24" s="14">
        <v>8</v>
      </c>
      <c r="E24" s="96" t="s">
        <v>518</v>
      </c>
      <c r="F24" s="14">
        <v>1</v>
      </c>
      <c r="G24" s="96" t="s">
        <v>517</v>
      </c>
      <c r="H24" s="96" t="s">
        <v>285</v>
      </c>
      <c r="I24" s="14" t="s">
        <v>393</v>
      </c>
      <c r="J24" s="169"/>
    </row>
    <row r="25" spans="1:10" ht="15" thickBot="1" x14ac:dyDescent="0.3">
      <c r="A25" s="185"/>
      <c r="B25" s="182"/>
      <c r="C25" s="182"/>
      <c r="D25" s="14">
        <v>9</v>
      </c>
      <c r="E25" s="96" t="s">
        <v>533</v>
      </c>
      <c r="F25" s="14" t="s">
        <v>534</v>
      </c>
      <c r="G25" s="96" t="s">
        <v>508</v>
      </c>
      <c r="H25" s="96" t="s">
        <v>285</v>
      </c>
      <c r="I25" s="14" t="s">
        <v>393</v>
      </c>
      <c r="J25" s="169"/>
    </row>
    <row r="26" spans="1:10" x14ac:dyDescent="0.25">
      <c r="A26" s="185"/>
      <c r="B26" s="182"/>
      <c r="C26" s="182"/>
      <c r="D26" s="68">
        <v>10</v>
      </c>
      <c r="E26" s="96" t="s">
        <v>519</v>
      </c>
      <c r="F26" s="14">
        <v>56098</v>
      </c>
      <c r="G26" s="96" t="s">
        <v>517</v>
      </c>
      <c r="H26" s="96" t="s">
        <v>285</v>
      </c>
      <c r="I26" s="14" t="s">
        <v>393</v>
      </c>
      <c r="J26" s="169"/>
    </row>
    <row r="27" spans="1:10" x14ac:dyDescent="0.25">
      <c r="A27" s="185"/>
      <c r="B27" s="182"/>
      <c r="C27" s="182"/>
      <c r="D27" s="14">
        <v>11</v>
      </c>
      <c r="E27" s="96" t="s">
        <v>83</v>
      </c>
      <c r="F27" s="19" t="s">
        <v>267</v>
      </c>
      <c r="G27" s="96" t="s">
        <v>102</v>
      </c>
      <c r="H27" s="96" t="s">
        <v>113</v>
      </c>
      <c r="I27" s="14" t="s">
        <v>393</v>
      </c>
      <c r="J27" s="169"/>
    </row>
    <row r="28" spans="1:10" ht="15" thickBot="1" x14ac:dyDescent="0.3">
      <c r="A28" s="186"/>
      <c r="B28" s="183"/>
      <c r="C28" s="183"/>
      <c r="D28" s="14">
        <v>12</v>
      </c>
      <c r="E28" s="100" t="s">
        <v>520</v>
      </c>
      <c r="F28" s="73" t="s">
        <v>267</v>
      </c>
      <c r="G28" s="100" t="s">
        <v>527</v>
      </c>
      <c r="H28" s="100" t="s">
        <v>522</v>
      </c>
      <c r="I28" s="71" t="s">
        <v>457</v>
      </c>
      <c r="J28" s="171"/>
    </row>
    <row r="29" spans="1:10" ht="15" thickBot="1" x14ac:dyDescent="0.3"/>
    <row r="30" spans="1:10" x14ac:dyDescent="0.25">
      <c r="A30" s="184" t="s">
        <v>528</v>
      </c>
      <c r="B30" s="181" t="s">
        <v>743</v>
      </c>
      <c r="C30" s="181" t="s">
        <v>491</v>
      </c>
      <c r="D30" s="68">
        <v>1</v>
      </c>
      <c r="E30" s="99" t="s">
        <v>503</v>
      </c>
      <c r="F30" s="68" t="s">
        <v>489</v>
      </c>
      <c r="G30" s="99" t="s">
        <v>326</v>
      </c>
      <c r="H30" s="99" t="s">
        <v>504</v>
      </c>
      <c r="I30" s="68" t="s">
        <v>393</v>
      </c>
      <c r="J30" s="168" t="s">
        <v>37</v>
      </c>
    </row>
    <row r="31" spans="1:10" x14ac:dyDescent="0.25">
      <c r="A31" s="185"/>
      <c r="B31" s="182"/>
      <c r="C31" s="182"/>
      <c r="D31" s="14">
        <v>2</v>
      </c>
      <c r="E31" s="96" t="s">
        <v>601</v>
      </c>
      <c r="F31" s="35">
        <v>46336</v>
      </c>
      <c r="G31" s="96" t="s">
        <v>508</v>
      </c>
      <c r="H31" s="96" t="s">
        <v>285</v>
      </c>
      <c r="I31" s="14" t="s">
        <v>393</v>
      </c>
      <c r="J31" s="169"/>
    </row>
    <row r="32" spans="1:10" ht="15" thickBot="1" x14ac:dyDescent="0.3">
      <c r="A32" s="185"/>
      <c r="B32" s="182"/>
      <c r="C32" s="182"/>
      <c r="D32" s="14">
        <v>3</v>
      </c>
      <c r="E32" s="96" t="s">
        <v>505</v>
      </c>
      <c r="F32" s="14" t="s">
        <v>506</v>
      </c>
      <c r="G32" s="96" t="s">
        <v>507</v>
      </c>
      <c r="H32" s="96" t="s">
        <v>509</v>
      </c>
      <c r="I32" s="14" t="s">
        <v>393</v>
      </c>
      <c r="J32" s="169"/>
    </row>
    <row r="33" spans="1:10" x14ac:dyDescent="0.25">
      <c r="A33" s="185"/>
      <c r="B33" s="182"/>
      <c r="C33" s="182"/>
      <c r="D33" s="68">
        <v>4</v>
      </c>
      <c r="E33" s="101" t="s">
        <v>619</v>
      </c>
      <c r="F33" s="36" t="s">
        <v>620</v>
      </c>
      <c r="G33" s="102" t="s">
        <v>507</v>
      </c>
      <c r="H33" s="102" t="s">
        <v>509</v>
      </c>
      <c r="I33" s="36" t="s">
        <v>393</v>
      </c>
      <c r="J33" s="169"/>
    </row>
    <row r="34" spans="1:10" x14ac:dyDescent="0.25">
      <c r="A34" s="185"/>
      <c r="B34" s="182"/>
      <c r="C34" s="182"/>
      <c r="D34" s="14">
        <v>5</v>
      </c>
      <c r="E34" s="96" t="s">
        <v>510</v>
      </c>
      <c r="F34" s="14" t="s">
        <v>175</v>
      </c>
      <c r="G34" s="96" t="s">
        <v>326</v>
      </c>
      <c r="H34" s="96" t="s">
        <v>511</v>
      </c>
      <c r="I34" s="14" t="s">
        <v>393</v>
      </c>
      <c r="J34" s="169"/>
    </row>
    <row r="35" spans="1:10" ht="15" thickBot="1" x14ac:dyDescent="0.3">
      <c r="A35" s="185"/>
      <c r="B35" s="182"/>
      <c r="C35" s="182"/>
      <c r="D35" s="14">
        <v>6</v>
      </c>
      <c r="E35" s="96" t="s">
        <v>512</v>
      </c>
      <c r="F35" s="19" t="s">
        <v>299</v>
      </c>
      <c r="G35" s="96" t="s">
        <v>513</v>
      </c>
      <c r="H35" s="96" t="s">
        <v>514</v>
      </c>
      <c r="I35" s="14" t="s">
        <v>393</v>
      </c>
      <c r="J35" s="169"/>
    </row>
    <row r="36" spans="1:10" x14ac:dyDescent="0.25">
      <c r="A36" s="185"/>
      <c r="B36" s="182"/>
      <c r="C36" s="182"/>
      <c r="D36" s="68">
        <v>7</v>
      </c>
      <c r="E36" s="96" t="s">
        <v>515</v>
      </c>
      <c r="F36" s="14" t="s">
        <v>164</v>
      </c>
      <c r="G36" s="96" t="s">
        <v>326</v>
      </c>
      <c r="H36" s="96" t="s">
        <v>516</v>
      </c>
      <c r="I36" s="14" t="s">
        <v>393</v>
      </c>
      <c r="J36" s="169"/>
    </row>
    <row r="37" spans="1:10" x14ac:dyDescent="0.25">
      <c r="A37" s="185"/>
      <c r="B37" s="182"/>
      <c r="C37" s="182"/>
      <c r="D37" s="14">
        <v>8</v>
      </c>
      <c r="E37" s="96" t="s">
        <v>518</v>
      </c>
      <c r="F37" s="14">
        <v>1</v>
      </c>
      <c r="G37" s="96" t="s">
        <v>517</v>
      </c>
      <c r="H37" s="96" t="s">
        <v>285</v>
      </c>
      <c r="I37" s="14" t="s">
        <v>393</v>
      </c>
      <c r="J37" s="169"/>
    </row>
    <row r="38" spans="1:10" ht="15" thickBot="1" x14ac:dyDescent="0.3">
      <c r="A38" s="185"/>
      <c r="B38" s="182"/>
      <c r="C38" s="182"/>
      <c r="D38" s="14">
        <v>9</v>
      </c>
      <c r="E38" s="101" t="s">
        <v>533</v>
      </c>
      <c r="F38" s="36" t="s">
        <v>534</v>
      </c>
      <c r="G38" s="102" t="s">
        <v>508</v>
      </c>
      <c r="H38" s="102" t="s">
        <v>285</v>
      </c>
      <c r="I38" s="36" t="s">
        <v>393</v>
      </c>
      <c r="J38" s="169"/>
    </row>
    <row r="39" spans="1:10" x14ac:dyDescent="0.25">
      <c r="A39" s="185"/>
      <c r="B39" s="182"/>
      <c r="C39" s="182"/>
      <c r="D39" s="68">
        <v>10</v>
      </c>
      <c r="E39" s="96" t="s">
        <v>519</v>
      </c>
      <c r="F39" s="14">
        <v>890</v>
      </c>
      <c r="G39" s="96" t="s">
        <v>517</v>
      </c>
      <c r="H39" s="96" t="s">
        <v>285</v>
      </c>
      <c r="I39" s="14" t="s">
        <v>393</v>
      </c>
      <c r="J39" s="169"/>
    </row>
    <row r="40" spans="1:10" x14ac:dyDescent="0.25">
      <c r="A40" s="185"/>
      <c r="B40" s="182"/>
      <c r="C40" s="182"/>
      <c r="D40" s="14">
        <v>11</v>
      </c>
      <c r="E40" s="96" t="s">
        <v>83</v>
      </c>
      <c r="F40" s="19" t="s">
        <v>267</v>
      </c>
      <c r="G40" s="96" t="s">
        <v>102</v>
      </c>
      <c r="H40" s="96" t="s">
        <v>113</v>
      </c>
      <c r="I40" s="14" t="s">
        <v>393</v>
      </c>
      <c r="J40" s="169"/>
    </row>
    <row r="41" spans="1:10" ht="15" thickBot="1" x14ac:dyDescent="0.3">
      <c r="A41" s="186"/>
      <c r="B41" s="183"/>
      <c r="C41" s="183"/>
      <c r="D41" s="14">
        <v>12</v>
      </c>
      <c r="E41" s="100" t="s">
        <v>520</v>
      </c>
      <c r="F41" s="73" t="s">
        <v>267</v>
      </c>
      <c r="G41" s="100" t="s">
        <v>521</v>
      </c>
      <c r="H41" s="100" t="s">
        <v>522</v>
      </c>
      <c r="I41" s="71" t="s">
        <v>393</v>
      </c>
      <c r="J41" s="171"/>
    </row>
    <row r="42" spans="1:10" ht="15" thickBot="1" x14ac:dyDescent="0.3"/>
    <row r="43" spans="1:10" x14ac:dyDescent="0.25">
      <c r="A43" s="184" t="s">
        <v>529</v>
      </c>
      <c r="B43" s="181" t="s">
        <v>744</v>
      </c>
      <c r="C43" s="181" t="s">
        <v>491</v>
      </c>
      <c r="D43" s="68">
        <v>1</v>
      </c>
      <c r="E43" s="99" t="s">
        <v>503</v>
      </c>
      <c r="F43" s="68" t="s">
        <v>489</v>
      </c>
      <c r="G43" s="99" t="s">
        <v>326</v>
      </c>
      <c r="H43" s="99" t="s">
        <v>504</v>
      </c>
      <c r="I43" s="68" t="s">
        <v>393</v>
      </c>
      <c r="J43" s="168" t="s">
        <v>37</v>
      </c>
    </row>
    <row r="44" spans="1:10" x14ac:dyDescent="0.25">
      <c r="A44" s="185"/>
      <c r="B44" s="182"/>
      <c r="C44" s="182"/>
      <c r="D44" s="14">
        <v>2</v>
      </c>
      <c r="E44" s="96" t="s">
        <v>601</v>
      </c>
      <c r="F44" s="35">
        <v>46336</v>
      </c>
      <c r="G44" s="96" t="s">
        <v>508</v>
      </c>
      <c r="H44" s="96" t="s">
        <v>285</v>
      </c>
      <c r="I44" s="14" t="s">
        <v>393</v>
      </c>
      <c r="J44" s="169"/>
    </row>
    <row r="45" spans="1:10" x14ac:dyDescent="0.25">
      <c r="A45" s="185"/>
      <c r="B45" s="182"/>
      <c r="C45" s="182"/>
      <c r="D45" s="14">
        <v>3</v>
      </c>
      <c r="E45" s="96" t="s">
        <v>505</v>
      </c>
      <c r="F45" s="14" t="s">
        <v>506</v>
      </c>
      <c r="G45" s="96" t="s">
        <v>507</v>
      </c>
      <c r="H45" s="96" t="s">
        <v>509</v>
      </c>
      <c r="I45" s="14" t="s">
        <v>393</v>
      </c>
      <c r="J45" s="169"/>
    </row>
    <row r="46" spans="1:10" x14ac:dyDescent="0.25">
      <c r="A46" s="185"/>
      <c r="B46" s="182"/>
      <c r="C46" s="182"/>
      <c r="D46" s="14">
        <v>4</v>
      </c>
      <c r="E46" s="101" t="s">
        <v>619</v>
      </c>
      <c r="F46" s="36" t="s">
        <v>620</v>
      </c>
      <c r="G46" s="102" t="s">
        <v>507</v>
      </c>
      <c r="H46" s="102" t="s">
        <v>509</v>
      </c>
      <c r="I46" s="36" t="s">
        <v>393</v>
      </c>
      <c r="J46" s="169"/>
    </row>
    <row r="47" spans="1:10" x14ac:dyDescent="0.25">
      <c r="A47" s="185"/>
      <c r="B47" s="182"/>
      <c r="C47" s="182"/>
      <c r="D47" s="14">
        <v>5</v>
      </c>
      <c r="E47" s="96" t="s">
        <v>510</v>
      </c>
      <c r="F47" s="14" t="s">
        <v>175</v>
      </c>
      <c r="G47" s="96" t="s">
        <v>326</v>
      </c>
      <c r="H47" s="96" t="s">
        <v>511</v>
      </c>
      <c r="I47" s="14" t="s">
        <v>393</v>
      </c>
      <c r="J47" s="169"/>
    </row>
    <row r="48" spans="1:10" x14ac:dyDescent="0.25">
      <c r="A48" s="185"/>
      <c r="B48" s="182"/>
      <c r="C48" s="182"/>
      <c r="D48" s="14">
        <v>6</v>
      </c>
      <c r="E48" s="96" t="s">
        <v>512</v>
      </c>
      <c r="F48" s="19" t="s">
        <v>299</v>
      </c>
      <c r="G48" s="96" t="s">
        <v>513</v>
      </c>
      <c r="H48" s="96" t="s">
        <v>514</v>
      </c>
      <c r="I48" s="14" t="s">
        <v>393</v>
      </c>
      <c r="J48" s="169"/>
    </row>
    <row r="49" spans="1:10" x14ac:dyDescent="0.25">
      <c r="A49" s="185"/>
      <c r="B49" s="182"/>
      <c r="C49" s="182"/>
      <c r="D49" s="14">
        <v>7</v>
      </c>
      <c r="E49" s="96" t="s">
        <v>515</v>
      </c>
      <c r="F49" s="14" t="s">
        <v>164</v>
      </c>
      <c r="G49" s="96" t="s">
        <v>326</v>
      </c>
      <c r="H49" s="96" t="s">
        <v>516</v>
      </c>
      <c r="I49" s="14" t="s">
        <v>393</v>
      </c>
      <c r="J49" s="169"/>
    </row>
    <row r="50" spans="1:10" x14ac:dyDescent="0.25">
      <c r="A50" s="185"/>
      <c r="B50" s="182"/>
      <c r="C50" s="182"/>
      <c r="D50" s="14">
        <v>8</v>
      </c>
      <c r="E50" s="96" t="s">
        <v>518</v>
      </c>
      <c r="F50" s="14">
        <v>1</v>
      </c>
      <c r="G50" s="96" t="s">
        <v>517</v>
      </c>
      <c r="H50" s="96" t="s">
        <v>285</v>
      </c>
      <c r="I50" s="14" t="s">
        <v>393</v>
      </c>
      <c r="J50" s="169"/>
    </row>
    <row r="51" spans="1:10" x14ac:dyDescent="0.25">
      <c r="A51" s="185"/>
      <c r="B51" s="182"/>
      <c r="C51" s="182"/>
      <c r="D51" s="14">
        <v>9</v>
      </c>
      <c r="E51" s="101" t="s">
        <v>533</v>
      </c>
      <c r="F51" s="36" t="s">
        <v>534</v>
      </c>
      <c r="G51" s="102" t="s">
        <v>508</v>
      </c>
      <c r="H51" s="102" t="s">
        <v>285</v>
      </c>
      <c r="I51" s="36" t="s">
        <v>393</v>
      </c>
      <c r="J51" s="169"/>
    </row>
    <row r="52" spans="1:10" x14ac:dyDescent="0.25">
      <c r="A52" s="185"/>
      <c r="B52" s="182"/>
      <c r="C52" s="182"/>
      <c r="D52" s="14">
        <v>10</v>
      </c>
      <c r="E52" s="96" t="s">
        <v>519</v>
      </c>
      <c r="F52" s="14">
        <v>890</v>
      </c>
      <c r="G52" s="96" t="s">
        <v>517</v>
      </c>
      <c r="H52" s="96" t="s">
        <v>285</v>
      </c>
      <c r="I52" s="14" t="s">
        <v>393</v>
      </c>
      <c r="J52" s="169"/>
    </row>
    <row r="53" spans="1:10" x14ac:dyDescent="0.25">
      <c r="A53" s="185"/>
      <c r="B53" s="182"/>
      <c r="C53" s="182"/>
      <c r="D53" s="14">
        <v>11</v>
      </c>
      <c r="E53" s="96" t="s">
        <v>83</v>
      </c>
      <c r="F53" s="19" t="s">
        <v>267</v>
      </c>
      <c r="G53" s="96" t="s">
        <v>102</v>
      </c>
      <c r="H53" s="96" t="s">
        <v>113</v>
      </c>
      <c r="I53" s="14" t="s">
        <v>393</v>
      </c>
      <c r="J53" s="169"/>
    </row>
    <row r="54" spans="1:10" x14ac:dyDescent="0.25">
      <c r="A54" s="185"/>
      <c r="B54" s="182"/>
      <c r="C54" s="182"/>
      <c r="D54" s="14">
        <v>12</v>
      </c>
      <c r="E54" s="96" t="s">
        <v>515</v>
      </c>
      <c r="F54" s="14" t="s">
        <v>168</v>
      </c>
      <c r="G54" s="96" t="s">
        <v>326</v>
      </c>
      <c r="H54" s="96" t="s">
        <v>516</v>
      </c>
      <c r="I54" s="14" t="s">
        <v>393</v>
      </c>
      <c r="J54" s="170"/>
    </row>
    <row r="55" spans="1:10" x14ac:dyDescent="0.25">
      <c r="A55" s="185"/>
      <c r="B55" s="182"/>
      <c r="C55" s="182"/>
      <c r="D55" s="14">
        <v>13</v>
      </c>
      <c r="E55" s="96" t="s">
        <v>518</v>
      </c>
      <c r="F55" s="14">
        <v>5</v>
      </c>
      <c r="G55" s="96" t="s">
        <v>517</v>
      </c>
      <c r="H55" s="96" t="s">
        <v>285</v>
      </c>
      <c r="I55" s="14" t="s">
        <v>393</v>
      </c>
      <c r="J55" s="170"/>
    </row>
    <row r="56" spans="1:10" x14ac:dyDescent="0.25">
      <c r="A56" s="185"/>
      <c r="B56" s="182"/>
      <c r="C56" s="182"/>
      <c r="D56" s="14">
        <v>14</v>
      </c>
      <c r="E56" s="101" t="s">
        <v>533</v>
      </c>
      <c r="F56" s="36" t="s">
        <v>534</v>
      </c>
      <c r="G56" s="102" t="s">
        <v>508</v>
      </c>
      <c r="H56" s="102" t="s">
        <v>285</v>
      </c>
      <c r="I56" s="36" t="s">
        <v>393</v>
      </c>
      <c r="J56" s="170"/>
    </row>
    <row r="57" spans="1:10" x14ac:dyDescent="0.25">
      <c r="A57" s="185"/>
      <c r="B57" s="182"/>
      <c r="C57" s="182"/>
      <c r="D57" s="14">
        <v>15</v>
      </c>
      <c r="E57" s="96" t="s">
        <v>519</v>
      </c>
      <c r="F57" s="14">
        <v>568</v>
      </c>
      <c r="G57" s="96" t="s">
        <v>517</v>
      </c>
      <c r="H57" s="96" t="s">
        <v>285</v>
      </c>
      <c r="I57" s="14" t="s">
        <v>393</v>
      </c>
      <c r="J57" s="170"/>
    </row>
    <row r="58" spans="1:10" x14ac:dyDescent="0.25">
      <c r="A58" s="185"/>
      <c r="B58" s="182"/>
      <c r="C58" s="182"/>
      <c r="D58" s="14">
        <v>16</v>
      </c>
      <c r="E58" s="96" t="s">
        <v>83</v>
      </c>
      <c r="F58" s="19" t="s">
        <v>267</v>
      </c>
      <c r="G58" s="96" t="s">
        <v>102</v>
      </c>
      <c r="H58" s="96" t="s">
        <v>113</v>
      </c>
      <c r="I58" s="14" t="s">
        <v>393</v>
      </c>
      <c r="J58" s="170"/>
    </row>
    <row r="59" spans="1:10" ht="15" thickBot="1" x14ac:dyDescent="0.3">
      <c r="A59" s="186"/>
      <c r="B59" s="183"/>
      <c r="C59" s="183"/>
      <c r="D59" s="14">
        <v>17</v>
      </c>
      <c r="E59" s="100" t="s">
        <v>520</v>
      </c>
      <c r="F59" s="73" t="s">
        <v>267</v>
      </c>
      <c r="G59" s="100" t="s">
        <v>521</v>
      </c>
      <c r="H59" s="100" t="s">
        <v>522</v>
      </c>
      <c r="I59" s="71" t="s">
        <v>393</v>
      </c>
      <c r="J59" s="171"/>
    </row>
    <row r="60" spans="1:10" ht="15" thickBot="1" x14ac:dyDescent="0.3"/>
    <row r="61" spans="1:10" x14ac:dyDescent="0.25">
      <c r="A61" s="184" t="s">
        <v>530</v>
      </c>
      <c r="B61" s="181" t="s">
        <v>745</v>
      </c>
      <c r="C61" s="181" t="s">
        <v>491</v>
      </c>
      <c r="D61" s="68">
        <v>1</v>
      </c>
      <c r="E61" s="99" t="s">
        <v>503</v>
      </c>
      <c r="F61" s="68" t="s">
        <v>487</v>
      </c>
      <c r="G61" s="99" t="s">
        <v>326</v>
      </c>
      <c r="H61" s="99" t="s">
        <v>504</v>
      </c>
      <c r="I61" s="68" t="s">
        <v>393</v>
      </c>
      <c r="J61" s="168" t="s">
        <v>37</v>
      </c>
    </row>
    <row r="62" spans="1:10" x14ac:dyDescent="0.25">
      <c r="A62" s="185"/>
      <c r="B62" s="182"/>
      <c r="C62" s="182"/>
      <c r="D62" s="14">
        <v>2</v>
      </c>
      <c r="E62" s="96" t="s">
        <v>601</v>
      </c>
      <c r="F62" s="35">
        <v>46336</v>
      </c>
      <c r="G62" s="96" t="s">
        <v>508</v>
      </c>
      <c r="H62" s="96" t="s">
        <v>285</v>
      </c>
      <c r="I62" s="14" t="s">
        <v>393</v>
      </c>
      <c r="J62" s="169"/>
    </row>
    <row r="63" spans="1:10" x14ac:dyDescent="0.25">
      <c r="A63" s="185"/>
      <c r="B63" s="182"/>
      <c r="C63" s="182"/>
      <c r="D63" s="14">
        <v>3</v>
      </c>
      <c r="E63" s="96" t="s">
        <v>505</v>
      </c>
      <c r="F63" s="14" t="s">
        <v>506</v>
      </c>
      <c r="G63" s="96" t="s">
        <v>507</v>
      </c>
      <c r="H63" s="96" t="s">
        <v>509</v>
      </c>
      <c r="I63" s="14" t="s">
        <v>393</v>
      </c>
      <c r="J63" s="169"/>
    </row>
    <row r="64" spans="1:10" x14ac:dyDescent="0.25">
      <c r="A64" s="185"/>
      <c r="B64" s="182"/>
      <c r="C64" s="182"/>
      <c r="D64" s="14">
        <v>4</v>
      </c>
      <c r="E64" s="101" t="s">
        <v>619</v>
      </c>
      <c r="F64" s="36" t="s">
        <v>620</v>
      </c>
      <c r="G64" s="102" t="s">
        <v>507</v>
      </c>
      <c r="H64" s="102" t="s">
        <v>509</v>
      </c>
      <c r="I64" s="36" t="s">
        <v>393</v>
      </c>
      <c r="J64" s="169"/>
    </row>
    <row r="65" spans="1:10" x14ac:dyDescent="0.25">
      <c r="A65" s="185"/>
      <c r="B65" s="182"/>
      <c r="C65" s="182"/>
      <c r="D65" s="14">
        <v>5</v>
      </c>
      <c r="E65" s="96" t="s">
        <v>510</v>
      </c>
      <c r="F65" s="14" t="s">
        <v>174</v>
      </c>
      <c r="G65" s="96" t="s">
        <v>326</v>
      </c>
      <c r="H65" s="96" t="s">
        <v>511</v>
      </c>
      <c r="I65" s="14" t="s">
        <v>393</v>
      </c>
      <c r="J65" s="169"/>
    </row>
    <row r="66" spans="1:10" x14ac:dyDescent="0.25">
      <c r="A66" s="185"/>
      <c r="B66" s="182"/>
      <c r="C66" s="182"/>
      <c r="D66" s="14">
        <v>6</v>
      </c>
      <c r="E66" s="96" t="s">
        <v>512</v>
      </c>
      <c r="F66" s="19" t="s">
        <v>299</v>
      </c>
      <c r="G66" s="96" t="s">
        <v>513</v>
      </c>
      <c r="H66" s="96" t="s">
        <v>514</v>
      </c>
      <c r="I66" s="14" t="s">
        <v>393</v>
      </c>
      <c r="J66" s="169"/>
    </row>
    <row r="67" spans="1:10" ht="15" thickBot="1" x14ac:dyDescent="0.3">
      <c r="A67" s="186"/>
      <c r="B67" s="183"/>
      <c r="C67" s="183"/>
      <c r="D67" s="71">
        <v>7</v>
      </c>
      <c r="E67" s="100" t="s">
        <v>520</v>
      </c>
      <c r="F67" s="73" t="s">
        <v>267</v>
      </c>
      <c r="G67" s="100" t="s">
        <v>527</v>
      </c>
      <c r="H67" s="100" t="s">
        <v>531</v>
      </c>
      <c r="I67" s="71" t="s">
        <v>393</v>
      </c>
      <c r="J67" s="171"/>
    </row>
    <row r="68" spans="1:10" ht="15" thickBot="1" x14ac:dyDescent="0.3"/>
    <row r="69" spans="1:10" x14ac:dyDescent="0.25">
      <c r="A69" s="184" t="s">
        <v>532</v>
      </c>
      <c r="B69" s="181" t="s">
        <v>746</v>
      </c>
      <c r="C69" s="181" t="s">
        <v>491</v>
      </c>
      <c r="D69" s="68">
        <v>1</v>
      </c>
      <c r="E69" s="99" t="s">
        <v>503</v>
      </c>
      <c r="F69" s="68" t="s">
        <v>489</v>
      </c>
      <c r="G69" s="99" t="s">
        <v>326</v>
      </c>
      <c r="H69" s="99" t="s">
        <v>504</v>
      </c>
      <c r="I69" s="68" t="s">
        <v>393</v>
      </c>
      <c r="J69" s="168" t="s">
        <v>182</v>
      </c>
    </row>
    <row r="70" spans="1:10" x14ac:dyDescent="0.25">
      <c r="A70" s="185"/>
      <c r="B70" s="182"/>
      <c r="C70" s="182"/>
      <c r="D70" s="14">
        <v>2</v>
      </c>
      <c r="E70" s="96" t="s">
        <v>601</v>
      </c>
      <c r="F70" s="35">
        <v>46347</v>
      </c>
      <c r="G70" s="96" t="s">
        <v>508</v>
      </c>
      <c r="H70" s="96" t="s">
        <v>285</v>
      </c>
      <c r="I70" s="14" t="s">
        <v>393</v>
      </c>
      <c r="J70" s="169"/>
    </row>
    <row r="71" spans="1:10" x14ac:dyDescent="0.25">
      <c r="A71" s="185"/>
      <c r="B71" s="182"/>
      <c r="C71" s="182"/>
      <c r="D71" s="14">
        <v>3</v>
      </c>
      <c r="E71" s="96" t="s">
        <v>505</v>
      </c>
      <c r="F71" s="14" t="s">
        <v>506</v>
      </c>
      <c r="G71" s="96" t="s">
        <v>507</v>
      </c>
      <c r="H71" s="96" t="s">
        <v>509</v>
      </c>
      <c r="I71" s="14" t="s">
        <v>393</v>
      </c>
      <c r="J71" s="169"/>
    </row>
    <row r="72" spans="1:10" x14ac:dyDescent="0.25">
      <c r="A72" s="185"/>
      <c r="B72" s="182"/>
      <c r="C72" s="182"/>
      <c r="D72" s="14">
        <v>4</v>
      </c>
      <c r="E72" s="101" t="s">
        <v>619</v>
      </c>
      <c r="F72" s="36" t="s">
        <v>620</v>
      </c>
      <c r="G72" s="102" t="s">
        <v>507</v>
      </c>
      <c r="H72" s="102" t="s">
        <v>509</v>
      </c>
      <c r="I72" s="36" t="s">
        <v>393</v>
      </c>
      <c r="J72" s="169"/>
    </row>
    <row r="73" spans="1:10" x14ac:dyDescent="0.25">
      <c r="A73" s="185"/>
      <c r="B73" s="182"/>
      <c r="C73" s="182"/>
      <c r="D73" s="14">
        <v>5</v>
      </c>
      <c r="E73" s="96" t="s">
        <v>510</v>
      </c>
      <c r="F73" s="14" t="s">
        <v>173</v>
      </c>
      <c r="G73" s="96" t="s">
        <v>326</v>
      </c>
      <c r="H73" s="96" t="s">
        <v>511</v>
      </c>
      <c r="I73" s="14" t="s">
        <v>393</v>
      </c>
      <c r="J73" s="169"/>
    </row>
    <row r="74" spans="1:10" x14ac:dyDescent="0.25">
      <c r="A74" s="185"/>
      <c r="B74" s="182"/>
      <c r="C74" s="182"/>
      <c r="D74" s="14">
        <v>6</v>
      </c>
      <c r="E74" s="96" t="s">
        <v>512</v>
      </c>
      <c r="F74" s="19" t="s">
        <v>299</v>
      </c>
      <c r="G74" s="96" t="s">
        <v>513</v>
      </c>
      <c r="H74" s="96" t="s">
        <v>514</v>
      </c>
      <c r="I74" s="14" t="s">
        <v>393</v>
      </c>
      <c r="J74" s="169"/>
    </row>
    <row r="75" spans="1:10" x14ac:dyDescent="0.25">
      <c r="A75" s="185"/>
      <c r="B75" s="182"/>
      <c r="C75" s="182"/>
      <c r="D75" s="14">
        <v>7</v>
      </c>
      <c r="E75" s="96" t="s">
        <v>515</v>
      </c>
      <c r="F75" s="14" t="s">
        <v>167</v>
      </c>
      <c r="G75" s="96" t="s">
        <v>326</v>
      </c>
      <c r="H75" s="96" t="s">
        <v>516</v>
      </c>
      <c r="I75" s="14" t="s">
        <v>393</v>
      </c>
      <c r="J75" s="169"/>
    </row>
    <row r="76" spans="1:10" x14ac:dyDescent="0.25">
      <c r="A76" s="185"/>
      <c r="B76" s="182"/>
      <c r="C76" s="182"/>
      <c r="D76" s="14">
        <v>8</v>
      </c>
      <c r="E76" s="96" t="s">
        <v>518</v>
      </c>
      <c r="F76" s="14">
        <v>5</v>
      </c>
      <c r="G76" s="96" t="s">
        <v>517</v>
      </c>
      <c r="H76" s="96" t="s">
        <v>285</v>
      </c>
      <c r="I76" s="14" t="s">
        <v>393</v>
      </c>
      <c r="J76" s="169"/>
    </row>
    <row r="77" spans="1:10" x14ac:dyDescent="0.25">
      <c r="A77" s="185"/>
      <c r="B77" s="182"/>
      <c r="C77" s="182"/>
      <c r="D77" s="14">
        <v>9</v>
      </c>
      <c r="E77" s="101" t="s">
        <v>533</v>
      </c>
      <c r="F77" s="36" t="s">
        <v>535</v>
      </c>
      <c r="G77" s="102" t="s">
        <v>536</v>
      </c>
      <c r="H77" s="102" t="s">
        <v>537</v>
      </c>
      <c r="I77" s="36" t="s">
        <v>182</v>
      </c>
      <c r="J77" s="169"/>
    </row>
    <row r="78" spans="1:10" x14ac:dyDescent="0.25">
      <c r="A78" s="185"/>
      <c r="B78" s="182"/>
      <c r="C78" s="182"/>
      <c r="D78" s="14">
        <v>10</v>
      </c>
      <c r="E78" s="96" t="s">
        <v>519</v>
      </c>
      <c r="F78" s="14">
        <v>989</v>
      </c>
      <c r="G78" s="96" t="s">
        <v>517</v>
      </c>
      <c r="H78" s="96" t="s">
        <v>285</v>
      </c>
      <c r="I78" s="14" t="s">
        <v>393</v>
      </c>
      <c r="J78" s="169"/>
    </row>
    <row r="79" spans="1:10" x14ac:dyDescent="0.25">
      <c r="A79" s="185"/>
      <c r="B79" s="182"/>
      <c r="C79" s="182"/>
      <c r="D79" s="14">
        <v>11</v>
      </c>
      <c r="E79" s="96" t="s">
        <v>83</v>
      </c>
      <c r="F79" s="19" t="s">
        <v>267</v>
      </c>
      <c r="G79" s="96" t="s">
        <v>102</v>
      </c>
      <c r="H79" s="96" t="s">
        <v>113</v>
      </c>
      <c r="I79" s="14" t="s">
        <v>393</v>
      </c>
      <c r="J79" s="169"/>
    </row>
    <row r="80" spans="1:10" ht="15" thickBot="1" x14ac:dyDescent="0.3">
      <c r="A80" s="186"/>
      <c r="B80" s="183"/>
      <c r="C80" s="183"/>
      <c r="D80" s="14">
        <v>12</v>
      </c>
      <c r="E80" s="100" t="s">
        <v>520</v>
      </c>
      <c r="F80" s="73" t="s">
        <v>267</v>
      </c>
      <c r="G80" s="100" t="s">
        <v>527</v>
      </c>
      <c r="H80" s="100" t="s">
        <v>522</v>
      </c>
      <c r="I80" s="71" t="s">
        <v>457</v>
      </c>
      <c r="J80" s="171"/>
    </row>
    <row r="81" spans="1:10" ht="15" thickBot="1" x14ac:dyDescent="0.3"/>
    <row r="82" spans="1:10" x14ac:dyDescent="0.25">
      <c r="A82" s="145" t="s">
        <v>538</v>
      </c>
      <c r="B82" s="148" t="s">
        <v>747</v>
      </c>
      <c r="C82" s="148" t="s">
        <v>491</v>
      </c>
      <c r="D82" s="79">
        <v>1</v>
      </c>
      <c r="E82" s="103" t="s">
        <v>503</v>
      </c>
      <c r="F82" s="79" t="s">
        <v>487</v>
      </c>
      <c r="G82" s="103" t="s">
        <v>326</v>
      </c>
      <c r="H82" s="103" t="s">
        <v>504</v>
      </c>
      <c r="I82" s="79" t="s">
        <v>393</v>
      </c>
      <c r="J82" s="187" t="s">
        <v>182</v>
      </c>
    </row>
    <row r="83" spans="1:10" x14ac:dyDescent="0.25">
      <c r="A83" s="146"/>
      <c r="B83" s="149"/>
      <c r="C83" s="149"/>
      <c r="D83" s="39">
        <v>2</v>
      </c>
      <c r="E83" s="104" t="s">
        <v>601</v>
      </c>
      <c r="F83" s="43">
        <v>46341</v>
      </c>
      <c r="G83" s="104" t="s">
        <v>508</v>
      </c>
      <c r="H83" s="104" t="s">
        <v>285</v>
      </c>
      <c r="I83" s="39" t="s">
        <v>393</v>
      </c>
      <c r="J83" s="188"/>
    </row>
    <row r="84" spans="1:10" x14ac:dyDescent="0.25">
      <c r="A84" s="146"/>
      <c r="B84" s="149"/>
      <c r="C84" s="149"/>
      <c r="D84" s="39">
        <v>3</v>
      </c>
      <c r="E84" s="104" t="s">
        <v>505</v>
      </c>
      <c r="F84" s="39" t="s">
        <v>506</v>
      </c>
      <c r="G84" s="104" t="s">
        <v>507</v>
      </c>
      <c r="H84" s="104" t="s">
        <v>509</v>
      </c>
      <c r="I84" s="39" t="s">
        <v>393</v>
      </c>
      <c r="J84" s="188"/>
    </row>
    <row r="85" spans="1:10" x14ac:dyDescent="0.25">
      <c r="A85" s="146"/>
      <c r="B85" s="149"/>
      <c r="C85" s="149"/>
      <c r="D85" s="39">
        <v>4</v>
      </c>
      <c r="E85" s="101" t="s">
        <v>619</v>
      </c>
      <c r="F85" s="36" t="s">
        <v>620</v>
      </c>
      <c r="G85" s="102" t="s">
        <v>507</v>
      </c>
      <c r="H85" s="102" t="s">
        <v>509</v>
      </c>
      <c r="I85" s="36" t="s">
        <v>393</v>
      </c>
      <c r="J85" s="188"/>
    </row>
    <row r="86" spans="1:10" x14ac:dyDescent="0.25">
      <c r="A86" s="146"/>
      <c r="B86" s="149"/>
      <c r="C86" s="149"/>
      <c r="D86" s="39">
        <v>5</v>
      </c>
      <c r="E86" s="104" t="s">
        <v>510</v>
      </c>
      <c r="F86" s="39" t="s">
        <v>174</v>
      </c>
      <c r="G86" s="104" t="s">
        <v>326</v>
      </c>
      <c r="H86" s="104" t="s">
        <v>511</v>
      </c>
      <c r="I86" s="39" t="s">
        <v>393</v>
      </c>
      <c r="J86" s="188"/>
    </row>
    <row r="87" spans="1:10" x14ac:dyDescent="0.25">
      <c r="A87" s="146"/>
      <c r="B87" s="149"/>
      <c r="C87" s="149"/>
      <c r="D87" s="39">
        <v>6</v>
      </c>
      <c r="E87" s="104" t="s">
        <v>512</v>
      </c>
      <c r="F87" s="39" t="s">
        <v>299</v>
      </c>
      <c r="G87" s="104" t="s">
        <v>513</v>
      </c>
      <c r="H87" s="104" t="s">
        <v>514</v>
      </c>
      <c r="I87" s="39" t="s">
        <v>393</v>
      </c>
      <c r="J87" s="188"/>
    </row>
    <row r="88" spans="1:10" x14ac:dyDescent="0.25">
      <c r="A88" s="146"/>
      <c r="B88" s="149"/>
      <c r="C88" s="149"/>
      <c r="D88" s="39">
        <v>7</v>
      </c>
      <c r="E88" s="104" t="s">
        <v>515</v>
      </c>
      <c r="F88" s="39" t="s">
        <v>166</v>
      </c>
      <c r="G88" s="104" t="s">
        <v>326</v>
      </c>
      <c r="H88" s="104" t="s">
        <v>516</v>
      </c>
      <c r="I88" s="39" t="s">
        <v>393</v>
      </c>
      <c r="J88" s="188"/>
    </row>
    <row r="89" spans="1:10" x14ac:dyDescent="0.25">
      <c r="A89" s="146"/>
      <c r="B89" s="149"/>
      <c r="C89" s="149"/>
      <c r="D89" s="39">
        <v>8</v>
      </c>
      <c r="E89" s="104" t="s">
        <v>518</v>
      </c>
      <c r="F89" s="39" t="s">
        <v>539</v>
      </c>
      <c r="G89" s="104" t="s">
        <v>421</v>
      </c>
      <c r="H89" s="104" t="s">
        <v>540</v>
      </c>
      <c r="I89" s="39" t="s">
        <v>457</v>
      </c>
      <c r="J89" s="188"/>
    </row>
    <row r="90" spans="1:10" x14ac:dyDescent="0.25">
      <c r="A90" s="146"/>
      <c r="B90" s="149"/>
      <c r="C90" s="149"/>
      <c r="D90" s="39">
        <v>9</v>
      </c>
      <c r="E90" s="104" t="s">
        <v>533</v>
      </c>
      <c r="F90" s="39" t="s">
        <v>534</v>
      </c>
      <c r="G90" s="104" t="s">
        <v>508</v>
      </c>
      <c r="H90" s="104" t="s">
        <v>285</v>
      </c>
      <c r="I90" s="39" t="s">
        <v>393</v>
      </c>
      <c r="J90" s="188"/>
    </row>
    <row r="91" spans="1:10" x14ac:dyDescent="0.25">
      <c r="A91" s="146"/>
      <c r="B91" s="149"/>
      <c r="C91" s="149"/>
      <c r="D91" s="39">
        <v>10</v>
      </c>
      <c r="E91" s="104" t="s">
        <v>519</v>
      </c>
      <c r="F91" s="39">
        <v>55</v>
      </c>
      <c r="G91" s="104" t="s">
        <v>517</v>
      </c>
      <c r="H91" s="104" t="s">
        <v>285</v>
      </c>
      <c r="I91" s="39" t="s">
        <v>393</v>
      </c>
      <c r="J91" s="188"/>
    </row>
    <row r="92" spans="1:10" x14ac:dyDescent="0.25">
      <c r="A92" s="146"/>
      <c r="B92" s="149"/>
      <c r="C92" s="149"/>
      <c r="D92" s="39">
        <v>11</v>
      </c>
      <c r="E92" s="104" t="s">
        <v>83</v>
      </c>
      <c r="F92" s="39" t="s">
        <v>267</v>
      </c>
      <c r="G92" s="104" t="s">
        <v>102</v>
      </c>
      <c r="H92" s="104" t="s">
        <v>113</v>
      </c>
      <c r="I92" s="39" t="s">
        <v>393</v>
      </c>
      <c r="J92" s="188"/>
    </row>
    <row r="93" spans="1:10" ht="15" thickBot="1" x14ac:dyDescent="0.3">
      <c r="A93" s="147"/>
      <c r="B93" s="150"/>
      <c r="C93" s="150"/>
      <c r="D93" s="39">
        <v>12</v>
      </c>
      <c r="E93" s="105" t="s">
        <v>520</v>
      </c>
      <c r="F93" s="82" t="s">
        <v>267</v>
      </c>
      <c r="G93" s="100" t="s">
        <v>527</v>
      </c>
      <c r="H93" s="100" t="s">
        <v>522</v>
      </c>
      <c r="I93" s="71" t="s">
        <v>457</v>
      </c>
      <c r="J93" s="189"/>
    </row>
    <row r="94" spans="1:10" ht="15" thickBot="1" x14ac:dyDescent="0.3"/>
    <row r="95" spans="1:10" x14ac:dyDescent="0.25">
      <c r="A95" s="184" t="s">
        <v>541</v>
      </c>
      <c r="B95" s="181" t="s">
        <v>748</v>
      </c>
      <c r="C95" s="181" t="s">
        <v>491</v>
      </c>
      <c r="D95" s="68">
        <v>1</v>
      </c>
      <c r="E95" s="99" t="s">
        <v>503</v>
      </c>
      <c r="F95" s="68" t="s">
        <v>486</v>
      </c>
      <c r="G95" s="99" t="s">
        <v>326</v>
      </c>
      <c r="H95" s="99" t="s">
        <v>504</v>
      </c>
      <c r="I95" s="68" t="s">
        <v>393</v>
      </c>
      <c r="J95" s="168" t="s">
        <v>182</v>
      </c>
    </row>
    <row r="96" spans="1:10" x14ac:dyDescent="0.25">
      <c r="A96" s="185"/>
      <c r="B96" s="182"/>
      <c r="C96" s="182"/>
      <c r="D96" s="14">
        <v>2</v>
      </c>
      <c r="E96" s="96" t="s">
        <v>601</v>
      </c>
      <c r="F96" s="35">
        <v>46336</v>
      </c>
      <c r="G96" s="96" t="s">
        <v>508</v>
      </c>
      <c r="H96" s="96" t="s">
        <v>285</v>
      </c>
      <c r="I96" s="14" t="s">
        <v>393</v>
      </c>
      <c r="J96" s="169"/>
    </row>
    <row r="97" spans="1:10" x14ac:dyDescent="0.25">
      <c r="A97" s="185"/>
      <c r="B97" s="182"/>
      <c r="C97" s="182"/>
      <c r="D97" s="14">
        <v>3</v>
      </c>
      <c r="E97" s="96" t="s">
        <v>505</v>
      </c>
      <c r="F97" s="14" t="s">
        <v>506</v>
      </c>
      <c r="G97" s="96" t="s">
        <v>507</v>
      </c>
      <c r="H97" s="96" t="s">
        <v>509</v>
      </c>
      <c r="I97" s="14" t="s">
        <v>393</v>
      </c>
      <c r="J97" s="169"/>
    </row>
    <row r="98" spans="1:10" x14ac:dyDescent="0.25">
      <c r="A98" s="185"/>
      <c r="B98" s="182"/>
      <c r="C98" s="182"/>
      <c r="D98" s="14">
        <v>4</v>
      </c>
      <c r="E98" s="101" t="s">
        <v>619</v>
      </c>
      <c r="F98" s="36" t="s">
        <v>620</v>
      </c>
      <c r="G98" s="102" t="s">
        <v>507</v>
      </c>
      <c r="H98" s="102" t="s">
        <v>509</v>
      </c>
      <c r="I98" s="36" t="s">
        <v>393</v>
      </c>
      <c r="J98" s="169"/>
    </row>
    <row r="99" spans="1:10" x14ac:dyDescent="0.25">
      <c r="A99" s="185"/>
      <c r="B99" s="182"/>
      <c r="C99" s="182"/>
      <c r="D99" s="14">
        <v>5</v>
      </c>
      <c r="E99" s="96" t="s">
        <v>510</v>
      </c>
      <c r="F99" s="14" t="s">
        <v>174</v>
      </c>
      <c r="G99" s="96" t="s">
        <v>326</v>
      </c>
      <c r="H99" s="96" t="s">
        <v>511</v>
      </c>
      <c r="I99" s="14" t="s">
        <v>393</v>
      </c>
      <c r="J99" s="169"/>
    </row>
    <row r="100" spans="1:10" x14ac:dyDescent="0.25">
      <c r="A100" s="185"/>
      <c r="B100" s="182"/>
      <c r="C100" s="182"/>
      <c r="D100" s="14">
        <v>6</v>
      </c>
      <c r="E100" s="96" t="s">
        <v>512</v>
      </c>
      <c r="F100" s="19" t="s">
        <v>299</v>
      </c>
      <c r="G100" s="96" t="s">
        <v>513</v>
      </c>
      <c r="H100" s="96" t="s">
        <v>514</v>
      </c>
      <c r="I100" s="14" t="s">
        <v>393</v>
      </c>
      <c r="J100" s="169"/>
    </row>
    <row r="101" spans="1:10" x14ac:dyDescent="0.25">
      <c r="A101" s="185"/>
      <c r="B101" s="182"/>
      <c r="C101" s="182"/>
      <c r="D101" s="14">
        <v>7</v>
      </c>
      <c r="E101" s="96" t="s">
        <v>515</v>
      </c>
      <c r="F101" s="14" t="s">
        <v>165</v>
      </c>
      <c r="G101" s="96" t="s">
        <v>326</v>
      </c>
      <c r="H101" s="96" t="s">
        <v>516</v>
      </c>
      <c r="I101" s="14" t="s">
        <v>393</v>
      </c>
      <c r="J101" s="169"/>
    </row>
    <row r="102" spans="1:10" x14ac:dyDescent="0.25">
      <c r="A102" s="185"/>
      <c r="B102" s="182"/>
      <c r="C102" s="182"/>
      <c r="D102" s="14">
        <v>8</v>
      </c>
      <c r="E102" s="96" t="s">
        <v>518</v>
      </c>
      <c r="F102" s="14">
        <v>2</v>
      </c>
      <c r="G102" s="96" t="s">
        <v>517</v>
      </c>
      <c r="H102" s="96" t="s">
        <v>285</v>
      </c>
      <c r="I102" s="14" t="s">
        <v>393</v>
      </c>
      <c r="J102" s="169"/>
    </row>
    <row r="103" spans="1:10" x14ac:dyDescent="0.25">
      <c r="A103" s="185"/>
      <c r="B103" s="182"/>
      <c r="C103" s="182"/>
      <c r="D103" s="14">
        <v>9</v>
      </c>
      <c r="E103" s="96" t="s">
        <v>533</v>
      </c>
      <c r="F103" s="14" t="s">
        <v>534</v>
      </c>
      <c r="G103" s="96" t="s">
        <v>508</v>
      </c>
      <c r="H103" s="96" t="s">
        <v>285</v>
      </c>
      <c r="I103" s="14" t="s">
        <v>393</v>
      </c>
      <c r="J103" s="169"/>
    </row>
    <row r="104" spans="1:10" x14ac:dyDescent="0.25">
      <c r="A104" s="185"/>
      <c r="B104" s="182"/>
      <c r="C104" s="182"/>
      <c r="D104" s="14">
        <v>10</v>
      </c>
      <c r="E104" s="96" t="s">
        <v>519</v>
      </c>
      <c r="F104" s="14" t="s">
        <v>542</v>
      </c>
      <c r="G104" s="96" t="s">
        <v>543</v>
      </c>
      <c r="H104" s="96" t="s">
        <v>544</v>
      </c>
      <c r="I104" s="14" t="s">
        <v>457</v>
      </c>
      <c r="J104" s="169"/>
    </row>
    <row r="105" spans="1:10" x14ac:dyDescent="0.25">
      <c r="A105" s="185"/>
      <c r="B105" s="182"/>
      <c r="C105" s="182"/>
      <c r="D105" s="14">
        <v>11</v>
      </c>
      <c r="E105" s="96" t="s">
        <v>83</v>
      </c>
      <c r="F105" s="19" t="s">
        <v>267</v>
      </c>
      <c r="G105" s="96" t="s">
        <v>102</v>
      </c>
      <c r="H105" s="96" t="s">
        <v>113</v>
      </c>
      <c r="I105" s="14" t="s">
        <v>393</v>
      </c>
      <c r="J105" s="169"/>
    </row>
    <row r="106" spans="1:10" ht="15" thickBot="1" x14ac:dyDescent="0.3">
      <c r="A106" s="186"/>
      <c r="B106" s="183"/>
      <c r="C106" s="183"/>
      <c r="D106" s="14">
        <v>12</v>
      </c>
      <c r="E106" s="100" t="s">
        <v>520</v>
      </c>
      <c r="F106" s="73" t="s">
        <v>267</v>
      </c>
      <c r="G106" s="100" t="s">
        <v>527</v>
      </c>
      <c r="H106" s="100" t="s">
        <v>522</v>
      </c>
      <c r="I106" s="71" t="s">
        <v>457</v>
      </c>
      <c r="J106" s="171"/>
    </row>
    <row r="107" spans="1:10" ht="15" thickBot="1" x14ac:dyDescent="0.3"/>
    <row r="108" spans="1:10" x14ac:dyDescent="0.25">
      <c r="A108" s="184" t="s">
        <v>545</v>
      </c>
      <c r="B108" s="181" t="s">
        <v>749</v>
      </c>
      <c r="C108" s="181" t="s">
        <v>491</v>
      </c>
      <c r="D108" s="68">
        <v>1</v>
      </c>
      <c r="E108" s="99" t="s">
        <v>503</v>
      </c>
      <c r="F108" s="68" t="s">
        <v>487</v>
      </c>
      <c r="G108" s="99" t="s">
        <v>326</v>
      </c>
      <c r="H108" s="99" t="s">
        <v>504</v>
      </c>
      <c r="I108" s="68" t="s">
        <v>393</v>
      </c>
      <c r="J108" s="168" t="s">
        <v>182</v>
      </c>
    </row>
    <row r="109" spans="1:10" x14ac:dyDescent="0.25">
      <c r="A109" s="185"/>
      <c r="B109" s="182"/>
      <c r="C109" s="182"/>
      <c r="D109" s="14">
        <v>2</v>
      </c>
      <c r="E109" s="96" t="s">
        <v>601</v>
      </c>
      <c r="F109" s="35">
        <v>46336</v>
      </c>
      <c r="G109" s="96" t="s">
        <v>508</v>
      </c>
      <c r="H109" s="96" t="s">
        <v>285</v>
      </c>
      <c r="I109" s="14" t="s">
        <v>393</v>
      </c>
      <c r="J109" s="169"/>
    </row>
    <row r="110" spans="1:10" x14ac:dyDescent="0.25">
      <c r="A110" s="185"/>
      <c r="B110" s="182"/>
      <c r="C110" s="182"/>
      <c r="D110" s="14">
        <v>3</v>
      </c>
      <c r="E110" s="96" t="s">
        <v>505</v>
      </c>
      <c r="F110" s="14" t="s">
        <v>506</v>
      </c>
      <c r="G110" s="96" t="s">
        <v>507</v>
      </c>
      <c r="H110" s="96" t="s">
        <v>509</v>
      </c>
      <c r="I110" s="14" t="s">
        <v>393</v>
      </c>
      <c r="J110" s="169"/>
    </row>
    <row r="111" spans="1:10" x14ac:dyDescent="0.25">
      <c r="A111" s="185"/>
      <c r="B111" s="182"/>
      <c r="C111" s="182"/>
      <c r="D111" s="14">
        <v>4</v>
      </c>
      <c r="E111" s="101" t="s">
        <v>619</v>
      </c>
      <c r="F111" s="36" t="s">
        <v>620</v>
      </c>
      <c r="G111" s="102" t="s">
        <v>507</v>
      </c>
      <c r="H111" s="102" t="s">
        <v>509</v>
      </c>
      <c r="I111" s="36" t="s">
        <v>393</v>
      </c>
      <c r="J111" s="169"/>
    </row>
    <row r="112" spans="1:10" x14ac:dyDescent="0.25">
      <c r="A112" s="185"/>
      <c r="B112" s="182"/>
      <c r="C112" s="182"/>
      <c r="D112" s="14">
        <v>5</v>
      </c>
      <c r="E112" s="96" t="s">
        <v>510</v>
      </c>
      <c r="F112" s="14" t="s">
        <v>174</v>
      </c>
      <c r="G112" s="96" t="s">
        <v>326</v>
      </c>
      <c r="H112" s="96" t="s">
        <v>511</v>
      </c>
      <c r="I112" s="14" t="s">
        <v>393</v>
      </c>
      <c r="J112" s="169"/>
    </row>
    <row r="113" spans="1:10" x14ac:dyDescent="0.25">
      <c r="A113" s="185"/>
      <c r="B113" s="182"/>
      <c r="C113" s="182"/>
      <c r="D113" s="14">
        <v>6</v>
      </c>
      <c r="E113" s="96" t="s">
        <v>512</v>
      </c>
      <c r="F113" s="19" t="s">
        <v>546</v>
      </c>
      <c r="G113" s="96" t="s">
        <v>547</v>
      </c>
      <c r="H113" s="96" t="s">
        <v>548</v>
      </c>
      <c r="I113" s="14" t="s">
        <v>457</v>
      </c>
      <c r="J113" s="169"/>
    </row>
    <row r="114" spans="1:10" x14ac:dyDescent="0.25">
      <c r="A114" s="185"/>
      <c r="B114" s="182"/>
      <c r="C114" s="182"/>
      <c r="D114" s="14">
        <v>7</v>
      </c>
      <c r="E114" s="96" t="s">
        <v>515</v>
      </c>
      <c r="F114" s="14" t="s">
        <v>166</v>
      </c>
      <c r="G114" s="96" t="s">
        <v>326</v>
      </c>
      <c r="H114" s="96" t="s">
        <v>516</v>
      </c>
      <c r="I114" s="14" t="s">
        <v>393</v>
      </c>
      <c r="J114" s="169"/>
    </row>
    <row r="115" spans="1:10" x14ac:dyDescent="0.25">
      <c r="A115" s="185"/>
      <c r="B115" s="182"/>
      <c r="C115" s="182"/>
      <c r="D115" s="14">
        <v>8</v>
      </c>
      <c r="E115" s="96" t="s">
        <v>518</v>
      </c>
      <c r="F115" s="14">
        <v>2</v>
      </c>
      <c r="G115" s="96" t="s">
        <v>517</v>
      </c>
      <c r="H115" s="96" t="s">
        <v>285</v>
      </c>
      <c r="I115" s="14" t="s">
        <v>393</v>
      </c>
      <c r="J115" s="169"/>
    </row>
    <row r="116" spans="1:10" x14ac:dyDescent="0.25">
      <c r="A116" s="185"/>
      <c r="B116" s="182"/>
      <c r="C116" s="182"/>
      <c r="D116" s="14">
        <v>9</v>
      </c>
      <c r="E116" s="96" t="s">
        <v>533</v>
      </c>
      <c r="F116" s="14" t="s">
        <v>534</v>
      </c>
      <c r="G116" s="96" t="s">
        <v>508</v>
      </c>
      <c r="H116" s="96" t="s">
        <v>285</v>
      </c>
      <c r="I116" s="14" t="s">
        <v>393</v>
      </c>
      <c r="J116" s="169"/>
    </row>
    <row r="117" spans="1:10" x14ac:dyDescent="0.25">
      <c r="A117" s="185"/>
      <c r="B117" s="182"/>
      <c r="C117" s="182"/>
      <c r="D117" s="14">
        <v>10</v>
      </c>
      <c r="E117" s="96" t="s">
        <v>519</v>
      </c>
      <c r="F117" s="14">
        <v>290</v>
      </c>
      <c r="G117" s="96" t="s">
        <v>517</v>
      </c>
      <c r="H117" s="96" t="s">
        <v>285</v>
      </c>
      <c r="I117" s="14" t="s">
        <v>393</v>
      </c>
      <c r="J117" s="169"/>
    </row>
    <row r="118" spans="1:10" x14ac:dyDescent="0.25">
      <c r="A118" s="185"/>
      <c r="B118" s="182"/>
      <c r="C118" s="182"/>
      <c r="D118" s="14">
        <v>11</v>
      </c>
      <c r="E118" s="96" t="s">
        <v>83</v>
      </c>
      <c r="F118" s="19" t="s">
        <v>267</v>
      </c>
      <c r="G118" s="96" t="s">
        <v>102</v>
      </c>
      <c r="H118" s="96" t="s">
        <v>113</v>
      </c>
      <c r="I118" s="14" t="s">
        <v>393</v>
      </c>
      <c r="J118" s="169"/>
    </row>
    <row r="119" spans="1:10" ht="15" thickBot="1" x14ac:dyDescent="0.3">
      <c r="A119" s="186"/>
      <c r="B119" s="183"/>
      <c r="C119" s="183"/>
      <c r="D119" s="14">
        <v>12</v>
      </c>
      <c r="E119" s="100" t="s">
        <v>520</v>
      </c>
      <c r="F119" s="73" t="s">
        <v>267</v>
      </c>
      <c r="G119" s="100" t="s">
        <v>527</v>
      </c>
      <c r="H119" s="100" t="s">
        <v>522</v>
      </c>
      <c r="I119" s="71" t="s">
        <v>457</v>
      </c>
      <c r="J119" s="171"/>
    </row>
    <row r="120" spans="1:10" ht="15" thickBot="1" x14ac:dyDescent="0.3"/>
    <row r="121" spans="1:10" x14ac:dyDescent="0.25">
      <c r="A121" s="184" t="s">
        <v>549</v>
      </c>
      <c r="B121" s="181" t="s">
        <v>750</v>
      </c>
      <c r="C121" s="181" t="s">
        <v>491</v>
      </c>
      <c r="D121" s="68">
        <v>1</v>
      </c>
      <c r="E121" s="99" t="s">
        <v>503</v>
      </c>
      <c r="F121" s="68" t="s">
        <v>490</v>
      </c>
      <c r="G121" s="99" t="s">
        <v>326</v>
      </c>
      <c r="H121" s="99" t="s">
        <v>504</v>
      </c>
      <c r="I121" s="68" t="s">
        <v>393</v>
      </c>
      <c r="J121" s="168" t="s">
        <v>37</v>
      </c>
    </row>
    <row r="122" spans="1:10" x14ac:dyDescent="0.25">
      <c r="A122" s="185"/>
      <c r="B122" s="182"/>
      <c r="C122" s="182"/>
      <c r="D122" s="14">
        <v>2</v>
      </c>
      <c r="E122" s="96" t="s">
        <v>601</v>
      </c>
      <c r="F122" s="35">
        <v>46336</v>
      </c>
      <c r="G122" s="96" t="s">
        <v>508</v>
      </c>
      <c r="H122" s="96" t="s">
        <v>285</v>
      </c>
      <c r="I122" s="14" t="s">
        <v>393</v>
      </c>
      <c r="J122" s="169"/>
    </row>
    <row r="123" spans="1:10" x14ac:dyDescent="0.25">
      <c r="A123" s="185"/>
      <c r="B123" s="182"/>
      <c r="C123" s="182"/>
      <c r="D123" s="14">
        <v>3</v>
      </c>
      <c r="E123" s="96" t="s">
        <v>505</v>
      </c>
      <c r="F123" s="14" t="s">
        <v>550</v>
      </c>
      <c r="G123" s="96" t="s">
        <v>551</v>
      </c>
      <c r="H123" s="96" t="s">
        <v>509</v>
      </c>
      <c r="I123" s="14" t="s">
        <v>393</v>
      </c>
      <c r="J123" s="169"/>
    </row>
    <row r="124" spans="1:10" x14ac:dyDescent="0.25">
      <c r="A124" s="185"/>
      <c r="B124" s="182"/>
      <c r="C124" s="182"/>
      <c r="D124" s="14">
        <v>4</v>
      </c>
      <c r="E124" s="101" t="s">
        <v>619</v>
      </c>
      <c r="F124" s="36" t="s">
        <v>620</v>
      </c>
      <c r="G124" s="102" t="s">
        <v>507</v>
      </c>
      <c r="H124" s="102" t="s">
        <v>509</v>
      </c>
      <c r="I124" s="36" t="s">
        <v>393</v>
      </c>
      <c r="J124" s="169"/>
    </row>
    <row r="125" spans="1:10" x14ac:dyDescent="0.25">
      <c r="A125" s="185"/>
      <c r="B125" s="182"/>
      <c r="C125" s="182"/>
      <c r="D125" s="14">
        <v>5</v>
      </c>
      <c r="E125" s="96" t="s">
        <v>510</v>
      </c>
      <c r="F125" s="14" t="s">
        <v>175</v>
      </c>
      <c r="G125" s="96" t="s">
        <v>326</v>
      </c>
      <c r="H125" s="96" t="s">
        <v>511</v>
      </c>
      <c r="I125" s="14" t="s">
        <v>393</v>
      </c>
      <c r="J125" s="169"/>
    </row>
    <row r="126" spans="1:10" x14ac:dyDescent="0.25">
      <c r="A126" s="185"/>
      <c r="B126" s="182"/>
      <c r="C126" s="182"/>
      <c r="D126" s="14">
        <v>6</v>
      </c>
      <c r="E126" s="96" t="s">
        <v>512</v>
      </c>
      <c r="F126" s="19" t="s">
        <v>299</v>
      </c>
      <c r="G126" s="96" t="s">
        <v>513</v>
      </c>
      <c r="H126" s="96" t="s">
        <v>514</v>
      </c>
      <c r="I126" s="14" t="s">
        <v>393</v>
      </c>
      <c r="J126" s="169"/>
    </row>
    <row r="127" spans="1:10" x14ac:dyDescent="0.25">
      <c r="A127" s="185"/>
      <c r="B127" s="182"/>
      <c r="C127" s="182"/>
      <c r="D127" s="14">
        <v>7</v>
      </c>
      <c r="E127" s="96" t="s">
        <v>515</v>
      </c>
      <c r="F127" s="14" t="s">
        <v>170</v>
      </c>
      <c r="G127" s="96" t="s">
        <v>326</v>
      </c>
      <c r="H127" s="96" t="s">
        <v>516</v>
      </c>
      <c r="I127" s="14" t="s">
        <v>393</v>
      </c>
      <c r="J127" s="169"/>
    </row>
    <row r="128" spans="1:10" x14ac:dyDescent="0.25">
      <c r="A128" s="185"/>
      <c r="B128" s="182"/>
      <c r="C128" s="182"/>
      <c r="D128" s="14">
        <v>8</v>
      </c>
      <c r="E128" s="96" t="s">
        <v>518</v>
      </c>
      <c r="F128" s="14">
        <v>2</v>
      </c>
      <c r="G128" s="96" t="s">
        <v>517</v>
      </c>
      <c r="H128" s="96" t="s">
        <v>285</v>
      </c>
      <c r="I128" s="14" t="s">
        <v>393</v>
      </c>
      <c r="J128" s="169"/>
    </row>
    <row r="129" spans="1:10" x14ac:dyDescent="0.25">
      <c r="A129" s="185"/>
      <c r="B129" s="182"/>
      <c r="C129" s="182"/>
      <c r="D129" s="14">
        <v>9</v>
      </c>
      <c r="E129" s="96" t="s">
        <v>533</v>
      </c>
      <c r="F129" s="14" t="s">
        <v>534</v>
      </c>
      <c r="G129" s="96" t="s">
        <v>508</v>
      </c>
      <c r="H129" s="96" t="s">
        <v>285</v>
      </c>
      <c r="I129" s="14" t="s">
        <v>393</v>
      </c>
      <c r="J129" s="169"/>
    </row>
    <row r="130" spans="1:10" x14ac:dyDescent="0.25">
      <c r="A130" s="185"/>
      <c r="B130" s="182"/>
      <c r="C130" s="182"/>
      <c r="D130" s="14">
        <v>10</v>
      </c>
      <c r="E130" s="96" t="s">
        <v>519</v>
      </c>
      <c r="F130" s="14">
        <v>500</v>
      </c>
      <c r="G130" s="96" t="s">
        <v>517</v>
      </c>
      <c r="H130" s="96" t="s">
        <v>285</v>
      </c>
      <c r="I130" s="14" t="s">
        <v>393</v>
      </c>
      <c r="J130" s="169"/>
    </row>
    <row r="131" spans="1:10" x14ac:dyDescent="0.25">
      <c r="A131" s="185"/>
      <c r="B131" s="182"/>
      <c r="C131" s="182"/>
      <c r="D131" s="14">
        <v>11</v>
      </c>
      <c r="E131" s="96" t="s">
        <v>83</v>
      </c>
      <c r="F131" s="19" t="s">
        <v>267</v>
      </c>
      <c r="G131" s="96" t="s">
        <v>102</v>
      </c>
      <c r="H131" s="96" t="s">
        <v>113</v>
      </c>
      <c r="I131" s="14" t="s">
        <v>393</v>
      </c>
      <c r="J131" s="169"/>
    </row>
    <row r="132" spans="1:10" ht="15" thickBot="1" x14ac:dyDescent="0.3">
      <c r="A132" s="186"/>
      <c r="B132" s="183"/>
      <c r="C132" s="183"/>
      <c r="D132" s="14">
        <v>12</v>
      </c>
      <c r="E132" s="100" t="s">
        <v>520</v>
      </c>
      <c r="F132" s="73" t="s">
        <v>267</v>
      </c>
      <c r="G132" s="100" t="s">
        <v>527</v>
      </c>
      <c r="H132" s="100" t="s">
        <v>552</v>
      </c>
      <c r="I132" s="71" t="s">
        <v>393</v>
      </c>
      <c r="J132" s="171"/>
    </row>
    <row r="133" spans="1:10" ht="15" thickBot="1" x14ac:dyDescent="0.3"/>
    <row r="134" spans="1:10" x14ac:dyDescent="0.25">
      <c r="A134" s="184" t="s">
        <v>553</v>
      </c>
      <c r="B134" s="181" t="s">
        <v>751</v>
      </c>
      <c r="C134" s="181" t="s">
        <v>491</v>
      </c>
      <c r="D134" s="68">
        <v>1</v>
      </c>
      <c r="E134" s="99" t="s">
        <v>503</v>
      </c>
      <c r="F134" s="68" t="s">
        <v>487</v>
      </c>
      <c r="G134" s="99" t="s">
        <v>326</v>
      </c>
      <c r="H134" s="99" t="s">
        <v>504</v>
      </c>
      <c r="I134" s="68" t="s">
        <v>393</v>
      </c>
      <c r="J134" s="168" t="s">
        <v>37</v>
      </c>
    </row>
    <row r="135" spans="1:10" x14ac:dyDescent="0.25">
      <c r="A135" s="185"/>
      <c r="B135" s="182"/>
      <c r="C135" s="182"/>
      <c r="D135" s="14">
        <v>2</v>
      </c>
      <c r="E135" s="96" t="s">
        <v>601</v>
      </c>
      <c r="F135" s="35">
        <v>46336</v>
      </c>
      <c r="G135" s="96" t="s">
        <v>508</v>
      </c>
      <c r="H135" s="96" t="s">
        <v>285</v>
      </c>
      <c r="I135" s="14" t="s">
        <v>393</v>
      </c>
      <c r="J135" s="169"/>
    </row>
    <row r="136" spans="1:10" x14ac:dyDescent="0.25">
      <c r="A136" s="185"/>
      <c r="B136" s="182"/>
      <c r="C136" s="182"/>
      <c r="D136" s="14">
        <v>3</v>
      </c>
      <c r="E136" s="96" t="s">
        <v>505</v>
      </c>
      <c r="F136" s="14" t="s">
        <v>506</v>
      </c>
      <c r="G136" s="96" t="s">
        <v>507</v>
      </c>
      <c r="H136" s="96" t="s">
        <v>509</v>
      </c>
      <c r="I136" s="14" t="s">
        <v>393</v>
      </c>
      <c r="J136" s="169"/>
    </row>
    <row r="137" spans="1:10" x14ac:dyDescent="0.25">
      <c r="A137" s="185"/>
      <c r="B137" s="182"/>
      <c r="C137" s="182"/>
      <c r="D137" s="14">
        <v>4</v>
      </c>
      <c r="E137" s="101" t="s">
        <v>619</v>
      </c>
      <c r="F137" s="36" t="s">
        <v>620</v>
      </c>
      <c r="G137" s="102" t="s">
        <v>507</v>
      </c>
      <c r="H137" s="102" t="s">
        <v>509</v>
      </c>
      <c r="I137" s="36" t="s">
        <v>393</v>
      </c>
      <c r="J137" s="169"/>
    </row>
    <row r="138" spans="1:10" x14ac:dyDescent="0.25">
      <c r="A138" s="185"/>
      <c r="B138" s="182"/>
      <c r="C138" s="182"/>
      <c r="D138" s="14">
        <v>5</v>
      </c>
      <c r="E138" s="96" t="s">
        <v>510</v>
      </c>
      <c r="F138" s="14" t="s">
        <v>174</v>
      </c>
      <c r="G138" s="96" t="s">
        <v>326</v>
      </c>
      <c r="H138" s="96" t="s">
        <v>511</v>
      </c>
      <c r="I138" s="14" t="s">
        <v>393</v>
      </c>
      <c r="J138" s="169"/>
    </row>
    <row r="139" spans="1:10" x14ac:dyDescent="0.25">
      <c r="A139" s="185"/>
      <c r="B139" s="182"/>
      <c r="C139" s="182"/>
      <c r="D139" s="14">
        <v>6</v>
      </c>
      <c r="E139" s="96" t="s">
        <v>512</v>
      </c>
      <c r="F139" s="19" t="s">
        <v>299</v>
      </c>
      <c r="G139" s="96" t="s">
        <v>513</v>
      </c>
      <c r="H139" s="96" t="s">
        <v>514</v>
      </c>
      <c r="I139" s="14" t="s">
        <v>393</v>
      </c>
      <c r="J139" s="169"/>
    </row>
    <row r="140" spans="1:10" x14ac:dyDescent="0.25">
      <c r="A140" s="185"/>
      <c r="B140" s="182"/>
      <c r="C140" s="182"/>
      <c r="D140" s="14">
        <v>7</v>
      </c>
      <c r="E140" s="96" t="s">
        <v>515</v>
      </c>
      <c r="F140" s="14" t="s">
        <v>166</v>
      </c>
      <c r="G140" s="96" t="s">
        <v>326</v>
      </c>
      <c r="H140" s="96" t="s">
        <v>516</v>
      </c>
      <c r="I140" s="14" t="s">
        <v>393</v>
      </c>
      <c r="J140" s="169"/>
    </row>
    <row r="141" spans="1:10" x14ac:dyDescent="0.25">
      <c r="A141" s="185"/>
      <c r="B141" s="182"/>
      <c r="C141" s="182"/>
      <c r="D141" s="14">
        <v>8</v>
      </c>
      <c r="E141" s="96" t="s">
        <v>518</v>
      </c>
      <c r="F141" s="14">
        <v>2</v>
      </c>
      <c r="G141" s="96" t="s">
        <v>517</v>
      </c>
      <c r="H141" s="96" t="s">
        <v>285</v>
      </c>
      <c r="I141" s="14" t="s">
        <v>393</v>
      </c>
      <c r="J141" s="169"/>
    </row>
    <row r="142" spans="1:10" x14ac:dyDescent="0.25">
      <c r="A142" s="185"/>
      <c r="B142" s="182"/>
      <c r="C142" s="182"/>
      <c r="D142" s="14">
        <v>9</v>
      </c>
      <c r="E142" s="96" t="s">
        <v>533</v>
      </c>
      <c r="F142" s="14" t="s">
        <v>534</v>
      </c>
      <c r="G142" s="96" t="s">
        <v>508</v>
      </c>
      <c r="H142" s="96" t="s">
        <v>285</v>
      </c>
      <c r="I142" s="14" t="s">
        <v>393</v>
      </c>
      <c r="J142" s="169"/>
    </row>
    <row r="143" spans="1:10" x14ac:dyDescent="0.25">
      <c r="A143" s="185"/>
      <c r="B143" s="182"/>
      <c r="C143" s="182"/>
      <c r="D143" s="14">
        <v>10</v>
      </c>
      <c r="E143" s="96" t="s">
        <v>519</v>
      </c>
      <c r="F143" s="14">
        <v>290</v>
      </c>
      <c r="G143" s="96" t="s">
        <v>517</v>
      </c>
      <c r="H143" s="96" t="s">
        <v>285</v>
      </c>
      <c r="I143" s="14" t="s">
        <v>393</v>
      </c>
      <c r="J143" s="169"/>
    </row>
    <row r="144" spans="1:10" x14ac:dyDescent="0.25">
      <c r="A144" s="185"/>
      <c r="B144" s="182"/>
      <c r="C144" s="182"/>
      <c r="D144" s="14">
        <v>11</v>
      </c>
      <c r="E144" s="96" t="s">
        <v>83</v>
      </c>
      <c r="F144" s="19" t="s">
        <v>267</v>
      </c>
      <c r="G144" s="96" t="s">
        <v>102</v>
      </c>
      <c r="H144" s="96" t="s">
        <v>113</v>
      </c>
      <c r="I144" s="14" t="s">
        <v>393</v>
      </c>
      <c r="J144" s="169"/>
    </row>
    <row r="145" spans="1:84" ht="15" thickBot="1" x14ac:dyDescent="0.3">
      <c r="A145" s="186"/>
      <c r="B145" s="183"/>
      <c r="C145" s="183"/>
      <c r="D145" s="14">
        <v>12</v>
      </c>
      <c r="E145" s="100" t="s">
        <v>554</v>
      </c>
      <c r="F145" s="73" t="s">
        <v>267</v>
      </c>
      <c r="G145" s="100" t="s">
        <v>555</v>
      </c>
      <c r="H145" s="100" t="s">
        <v>556</v>
      </c>
      <c r="I145" s="71" t="s">
        <v>393</v>
      </c>
      <c r="J145" s="171"/>
    </row>
    <row r="147" spans="1:84" ht="57.6" x14ac:dyDescent="0.25">
      <c r="A147" s="14" t="s">
        <v>557</v>
      </c>
      <c r="B147" s="25" t="s">
        <v>752</v>
      </c>
      <c r="C147" s="25" t="s">
        <v>558</v>
      </c>
      <c r="D147" s="14">
        <v>1</v>
      </c>
      <c r="E147" s="4" t="s">
        <v>233</v>
      </c>
      <c r="F147" s="19" t="s">
        <v>43</v>
      </c>
      <c r="G147" s="5" t="s">
        <v>234</v>
      </c>
      <c r="H147" s="5" t="s">
        <v>235</v>
      </c>
      <c r="I147" s="14" t="s">
        <v>37</v>
      </c>
      <c r="J147" s="14" t="s">
        <v>37</v>
      </c>
    </row>
    <row r="148" spans="1:84" ht="15" thickBot="1" x14ac:dyDescent="0.3"/>
    <row r="149" spans="1:84" ht="15" thickBot="1" x14ac:dyDescent="0.3">
      <c r="A149" s="154" t="s">
        <v>576</v>
      </c>
      <c r="B149" s="155"/>
      <c r="C149" s="155"/>
      <c r="D149" s="155"/>
      <c r="E149" s="155"/>
      <c r="F149" s="155"/>
      <c r="G149" s="155"/>
      <c r="H149" s="155"/>
      <c r="I149" s="155"/>
      <c r="J149" s="156"/>
    </row>
    <row r="150" spans="1:84" ht="15" thickBot="1" x14ac:dyDescent="0.3"/>
    <row r="151" spans="1:84" ht="15" customHeight="1" x14ac:dyDescent="0.25">
      <c r="A151" s="157" t="s">
        <v>563</v>
      </c>
      <c r="B151" s="160" t="s">
        <v>753</v>
      </c>
      <c r="C151" s="172" t="s">
        <v>577</v>
      </c>
      <c r="D151" s="85">
        <v>1</v>
      </c>
      <c r="E151" s="97" t="s">
        <v>564</v>
      </c>
      <c r="F151" s="68" t="s">
        <v>565</v>
      </c>
      <c r="G151" s="97" t="s">
        <v>566</v>
      </c>
      <c r="H151" s="97" t="s">
        <v>509</v>
      </c>
      <c r="I151" s="68" t="s">
        <v>393</v>
      </c>
      <c r="J151" s="175" t="s">
        <v>37</v>
      </c>
    </row>
    <row r="152" spans="1:84" x14ac:dyDescent="0.25">
      <c r="A152" s="158"/>
      <c r="B152" s="161"/>
      <c r="C152" s="173"/>
      <c r="D152" s="87">
        <v>2</v>
      </c>
      <c r="E152" s="95" t="s">
        <v>567</v>
      </c>
      <c r="F152" s="14" t="s">
        <v>175</v>
      </c>
      <c r="G152" s="95" t="s">
        <v>326</v>
      </c>
      <c r="H152" s="95" t="s">
        <v>568</v>
      </c>
      <c r="I152" s="14" t="s">
        <v>393</v>
      </c>
      <c r="J152" s="176"/>
    </row>
    <row r="153" spans="1:84" x14ac:dyDescent="0.25">
      <c r="A153" s="158"/>
      <c r="B153" s="161"/>
      <c r="C153" s="173"/>
      <c r="D153" s="87">
        <v>3</v>
      </c>
      <c r="E153" s="95" t="s">
        <v>569</v>
      </c>
      <c r="F153" s="35">
        <v>46336</v>
      </c>
      <c r="G153" s="95" t="s">
        <v>508</v>
      </c>
      <c r="H153" s="95" t="s">
        <v>386</v>
      </c>
      <c r="I153" s="14" t="s">
        <v>393</v>
      </c>
      <c r="J153" s="176"/>
    </row>
    <row r="154" spans="1:84" x14ac:dyDescent="0.25">
      <c r="A154" s="158"/>
      <c r="B154" s="161"/>
      <c r="C154" s="173"/>
      <c r="D154" s="87">
        <v>4</v>
      </c>
      <c r="E154" s="95" t="s">
        <v>570</v>
      </c>
      <c r="F154" s="14" t="s">
        <v>637</v>
      </c>
      <c r="G154" s="95" t="s">
        <v>638</v>
      </c>
      <c r="H154" s="95" t="s">
        <v>639</v>
      </c>
      <c r="I154" s="14" t="s">
        <v>393</v>
      </c>
      <c r="J154" s="176"/>
    </row>
    <row r="155" spans="1:84" ht="15" thickBot="1" x14ac:dyDescent="0.3">
      <c r="A155" s="159"/>
      <c r="B155" s="162"/>
      <c r="C155" s="174"/>
      <c r="D155" s="86">
        <v>5</v>
      </c>
      <c r="E155" s="98" t="s">
        <v>278</v>
      </c>
      <c r="F155" s="73" t="s">
        <v>299</v>
      </c>
      <c r="G155" s="98" t="s">
        <v>640</v>
      </c>
      <c r="H155" s="98" t="s">
        <v>641</v>
      </c>
      <c r="I155" s="71" t="s">
        <v>393</v>
      </c>
      <c r="J155" s="177"/>
    </row>
    <row r="156" spans="1:84" ht="15" thickBot="1" x14ac:dyDescent="0.3"/>
    <row r="157" spans="1:84" ht="16.8" customHeight="1" x14ac:dyDescent="0.25">
      <c r="A157" s="157" t="s">
        <v>578</v>
      </c>
      <c r="B157" s="160" t="s">
        <v>754</v>
      </c>
      <c r="C157" s="160" t="s">
        <v>577</v>
      </c>
      <c r="D157" s="68">
        <v>1</v>
      </c>
      <c r="E157" s="97" t="s">
        <v>564</v>
      </c>
      <c r="F157" s="68" t="s">
        <v>565</v>
      </c>
      <c r="G157" s="97" t="s">
        <v>566</v>
      </c>
      <c r="H157" s="97" t="s">
        <v>509</v>
      </c>
      <c r="I157" s="68" t="s">
        <v>393</v>
      </c>
      <c r="J157" s="168" t="s">
        <v>37</v>
      </c>
      <c r="BW157" s="92"/>
      <c r="BX157" s="93"/>
      <c r="BY157" s="93"/>
      <c r="BZ157" s="93"/>
      <c r="CA157" s="93"/>
      <c r="CB157" s="93"/>
      <c r="CC157" s="93"/>
      <c r="CD157" s="93"/>
      <c r="CE157" s="93"/>
      <c r="CF157" s="94"/>
    </row>
    <row r="158" spans="1:84" x14ac:dyDescent="0.25">
      <c r="A158" s="158"/>
      <c r="B158" s="161"/>
      <c r="C158" s="161"/>
      <c r="D158" s="14">
        <v>2</v>
      </c>
      <c r="E158" s="95" t="s">
        <v>567</v>
      </c>
      <c r="F158" s="14" t="s">
        <v>175</v>
      </c>
      <c r="G158" s="95" t="s">
        <v>326</v>
      </c>
      <c r="H158" s="95" t="s">
        <v>568</v>
      </c>
      <c r="I158" s="14" t="s">
        <v>393</v>
      </c>
      <c r="J158" s="169"/>
    </row>
    <row r="159" spans="1:84" x14ac:dyDescent="0.25">
      <c r="A159" s="158"/>
      <c r="B159" s="161"/>
      <c r="C159" s="161"/>
      <c r="D159" s="14">
        <v>3</v>
      </c>
      <c r="E159" s="95" t="s">
        <v>569</v>
      </c>
      <c r="F159" s="35">
        <v>46336</v>
      </c>
      <c r="G159" s="95" t="s">
        <v>508</v>
      </c>
      <c r="H159" s="95" t="s">
        <v>386</v>
      </c>
      <c r="I159" s="14" t="s">
        <v>393</v>
      </c>
      <c r="J159" s="169"/>
    </row>
    <row r="160" spans="1:84" x14ac:dyDescent="0.25">
      <c r="A160" s="158"/>
      <c r="B160" s="161"/>
      <c r="C160" s="161"/>
      <c r="D160" s="14">
        <v>4</v>
      </c>
      <c r="E160" s="95" t="s">
        <v>570</v>
      </c>
      <c r="F160" s="14">
        <v>1</v>
      </c>
      <c r="G160" s="95" t="s">
        <v>571</v>
      </c>
      <c r="H160" s="95" t="s">
        <v>572</v>
      </c>
      <c r="I160" s="14" t="s">
        <v>393</v>
      </c>
      <c r="J160" s="169"/>
    </row>
    <row r="161" spans="1:24" ht="15" thickBot="1" x14ac:dyDescent="0.3">
      <c r="A161" s="159"/>
      <c r="B161" s="162"/>
      <c r="C161" s="162"/>
      <c r="D161" s="71">
        <v>5</v>
      </c>
      <c r="E161" s="98" t="s">
        <v>573</v>
      </c>
      <c r="F161" s="73" t="s">
        <v>299</v>
      </c>
      <c r="G161" s="98" t="s">
        <v>574</v>
      </c>
      <c r="H161" s="98" t="s">
        <v>575</v>
      </c>
      <c r="I161" s="71" t="s">
        <v>393</v>
      </c>
      <c r="J161" s="171"/>
    </row>
    <row r="162" spans="1:24" ht="15" thickBot="1" x14ac:dyDescent="0.3"/>
    <row r="163" spans="1:24" x14ac:dyDescent="0.25">
      <c r="A163" s="157" t="s">
        <v>582</v>
      </c>
      <c r="B163" s="160" t="s">
        <v>755</v>
      </c>
      <c r="C163" s="160" t="s">
        <v>577</v>
      </c>
      <c r="D163" s="68">
        <v>1</v>
      </c>
      <c r="E163" s="97" t="s">
        <v>564</v>
      </c>
      <c r="F163" s="68" t="s">
        <v>565</v>
      </c>
      <c r="G163" s="97" t="s">
        <v>566</v>
      </c>
      <c r="H163" s="97" t="s">
        <v>509</v>
      </c>
      <c r="I163" s="68" t="s">
        <v>393</v>
      </c>
      <c r="J163" s="168" t="s">
        <v>37</v>
      </c>
    </row>
    <row r="164" spans="1:24" x14ac:dyDescent="0.25">
      <c r="A164" s="158"/>
      <c r="B164" s="161"/>
      <c r="C164" s="161"/>
      <c r="D164" s="14">
        <v>2</v>
      </c>
      <c r="E164" s="95" t="s">
        <v>567</v>
      </c>
      <c r="F164" s="14" t="s">
        <v>97</v>
      </c>
      <c r="G164" s="95" t="s">
        <v>326</v>
      </c>
      <c r="H164" s="95" t="s">
        <v>568</v>
      </c>
      <c r="I164" s="14" t="s">
        <v>393</v>
      </c>
      <c r="J164" s="169"/>
    </row>
    <row r="165" spans="1:24" x14ac:dyDescent="0.25">
      <c r="A165" s="158"/>
      <c r="B165" s="161"/>
      <c r="C165" s="161"/>
      <c r="D165" s="14">
        <v>3</v>
      </c>
      <c r="E165" s="95" t="s">
        <v>569</v>
      </c>
      <c r="F165" s="35" t="s">
        <v>579</v>
      </c>
      <c r="G165" s="95" t="s">
        <v>508</v>
      </c>
      <c r="H165" s="95" t="s">
        <v>386</v>
      </c>
      <c r="I165" s="14" t="s">
        <v>393</v>
      </c>
      <c r="J165" s="169"/>
    </row>
    <row r="166" spans="1:24" x14ac:dyDescent="0.25">
      <c r="A166" s="158"/>
      <c r="B166" s="161"/>
      <c r="C166" s="161"/>
      <c r="D166" s="14">
        <v>4</v>
      </c>
      <c r="E166" s="95" t="s">
        <v>570</v>
      </c>
      <c r="F166" s="14">
        <v>1</v>
      </c>
      <c r="G166" s="95" t="s">
        <v>571</v>
      </c>
      <c r="H166" s="95" t="s">
        <v>572</v>
      </c>
      <c r="I166" s="14" t="s">
        <v>393</v>
      </c>
      <c r="J166" s="169"/>
    </row>
    <row r="167" spans="1:24" ht="15" thickBot="1" x14ac:dyDescent="0.3">
      <c r="A167" s="159"/>
      <c r="B167" s="162"/>
      <c r="C167" s="162"/>
      <c r="D167" s="71">
        <v>5</v>
      </c>
      <c r="E167" s="98" t="s">
        <v>573</v>
      </c>
      <c r="F167" s="73" t="s">
        <v>299</v>
      </c>
      <c r="G167" s="98" t="s">
        <v>580</v>
      </c>
      <c r="H167" s="98" t="s">
        <v>581</v>
      </c>
      <c r="I167" s="71" t="s">
        <v>393</v>
      </c>
      <c r="J167" s="171"/>
    </row>
    <row r="168" spans="1:24" ht="15" thickBot="1" x14ac:dyDescent="0.3">
      <c r="X168" s="14"/>
    </row>
    <row r="169" spans="1:24" x14ac:dyDescent="0.25">
      <c r="A169" s="157" t="s">
        <v>587</v>
      </c>
      <c r="B169" s="160" t="s">
        <v>756</v>
      </c>
      <c r="C169" s="160" t="s">
        <v>577</v>
      </c>
      <c r="D169" s="68">
        <v>1</v>
      </c>
      <c r="E169" s="97" t="s">
        <v>564</v>
      </c>
      <c r="F169" s="68" t="s">
        <v>565</v>
      </c>
      <c r="G169" s="97" t="s">
        <v>566</v>
      </c>
      <c r="H169" s="97" t="s">
        <v>509</v>
      </c>
      <c r="I169" s="68" t="s">
        <v>393</v>
      </c>
      <c r="J169" s="168" t="s">
        <v>182</v>
      </c>
    </row>
    <row r="170" spans="1:24" x14ac:dyDescent="0.25">
      <c r="A170" s="158"/>
      <c r="B170" s="161"/>
      <c r="C170" s="161"/>
      <c r="D170" s="14">
        <v>2</v>
      </c>
      <c r="E170" s="95" t="s">
        <v>567</v>
      </c>
      <c r="F170" s="14" t="s">
        <v>172</v>
      </c>
      <c r="G170" s="95" t="s">
        <v>326</v>
      </c>
      <c r="H170" s="95" t="s">
        <v>568</v>
      </c>
      <c r="I170" s="14" t="s">
        <v>393</v>
      </c>
      <c r="J170" s="169"/>
    </row>
    <row r="171" spans="1:24" x14ac:dyDescent="0.25">
      <c r="A171" s="158"/>
      <c r="B171" s="161"/>
      <c r="C171" s="161"/>
      <c r="D171" s="14">
        <v>3</v>
      </c>
      <c r="E171" s="95" t="s">
        <v>583</v>
      </c>
      <c r="F171" s="17" t="s">
        <v>584</v>
      </c>
      <c r="G171" s="95" t="s">
        <v>585</v>
      </c>
      <c r="H171" s="95" t="s">
        <v>586</v>
      </c>
      <c r="I171" s="14" t="s">
        <v>457</v>
      </c>
      <c r="J171" s="169"/>
    </row>
    <row r="172" spans="1:24" x14ac:dyDescent="0.25">
      <c r="A172" s="158"/>
      <c r="B172" s="161"/>
      <c r="C172" s="161"/>
      <c r="D172" s="14">
        <v>3</v>
      </c>
      <c r="E172" s="95" t="s">
        <v>569</v>
      </c>
      <c r="F172" s="35">
        <v>46336</v>
      </c>
      <c r="G172" s="95" t="s">
        <v>508</v>
      </c>
      <c r="H172" s="95" t="s">
        <v>386</v>
      </c>
      <c r="I172" s="14" t="s">
        <v>393</v>
      </c>
      <c r="J172" s="169"/>
    </row>
    <row r="173" spans="1:24" x14ac:dyDescent="0.25">
      <c r="A173" s="158"/>
      <c r="B173" s="161"/>
      <c r="C173" s="161"/>
      <c r="D173" s="14">
        <v>4</v>
      </c>
      <c r="E173" s="95" t="s">
        <v>570</v>
      </c>
      <c r="F173" s="14">
        <v>1</v>
      </c>
      <c r="G173" s="95" t="s">
        <v>571</v>
      </c>
      <c r="H173" s="95" t="s">
        <v>572</v>
      </c>
      <c r="I173" s="14" t="s">
        <v>393</v>
      </c>
      <c r="J173" s="169"/>
    </row>
    <row r="174" spans="1:24" ht="15" thickBot="1" x14ac:dyDescent="0.3">
      <c r="A174" s="159"/>
      <c r="B174" s="162"/>
      <c r="C174" s="162"/>
      <c r="D174" s="71">
        <v>5</v>
      </c>
      <c r="E174" s="98" t="s">
        <v>573</v>
      </c>
      <c r="F174" s="73" t="s">
        <v>299</v>
      </c>
      <c r="G174" s="98" t="s">
        <v>580</v>
      </c>
      <c r="H174" s="98" t="s">
        <v>575</v>
      </c>
      <c r="I174" s="71" t="s">
        <v>457</v>
      </c>
      <c r="J174" s="171"/>
    </row>
    <row r="175" spans="1:24" ht="15" thickBot="1" x14ac:dyDescent="0.3"/>
    <row r="176" spans="1:24" x14ac:dyDescent="0.25">
      <c r="A176" s="157" t="s">
        <v>599</v>
      </c>
      <c r="B176" s="160" t="s">
        <v>757</v>
      </c>
      <c r="C176" s="160" t="s">
        <v>577</v>
      </c>
      <c r="D176" s="68">
        <v>1</v>
      </c>
      <c r="E176" s="97" t="s">
        <v>564</v>
      </c>
      <c r="F176" s="68" t="s">
        <v>565</v>
      </c>
      <c r="G176" s="97" t="s">
        <v>566</v>
      </c>
      <c r="H176" s="97" t="s">
        <v>509</v>
      </c>
      <c r="I176" s="68" t="s">
        <v>393</v>
      </c>
      <c r="J176" s="168" t="s">
        <v>37</v>
      </c>
    </row>
    <row r="177" spans="1:10" x14ac:dyDescent="0.25">
      <c r="A177" s="158"/>
      <c r="B177" s="161"/>
      <c r="C177" s="161"/>
      <c r="D177" s="14">
        <v>2</v>
      </c>
      <c r="E177" s="95" t="s">
        <v>567</v>
      </c>
      <c r="F177" s="14" t="s">
        <v>173</v>
      </c>
      <c r="G177" s="95" t="s">
        <v>326</v>
      </c>
      <c r="H177" s="95" t="s">
        <v>568</v>
      </c>
      <c r="I177" s="14" t="s">
        <v>393</v>
      </c>
      <c r="J177" s="169"/>
    </row>
    <row r="178" spans="1:10" x14ac:dyDescent="0.25">
      <c r="A178" s="158"/>
      <c r="B178" s="161"/>
      <c r="C178" s="161"/>
      <c r="D178" s="14">
        <v>3</v>
      </c>
      <c r="E178" s="95" t="s">
        <v>569</v>
      </c>
      <c r="F178" s="35">
        <v>46336</v>
      </c>
      <c r="G178" s="95" t="s">
        <v>508</v>
      </c>
      <c r="H178" s="95" t="s">
        <v>386</v>
      </c>
      <c r="I178" s="14" t="s">
        <v>393</v>
      </c>
      <c r="J178" s="169"/>
    </row>
    <row r="179" spans="1:10" x14ac:dyDescent="0.25">
      <c r="A179" s="158"/>
      <c r="B179" s="161"/>
      <c r="C179" s="161"/>
      <c r="D179" s="14">
        <v>4</v>
      </c>
      <c r="E179" s="95" t="s">
        <v>570</v>
      </c>
      <c r="F179" s="14" t="s">
        <v>588</v>
      </c>
      <c r="G179" s="95" t="s">
        <v>571</v>
      </c>
      <c r="H179" s="95" t="s">
        <v>572</v>
      </c>
      <c r="I179" s="14" t="s">
        <v>393</v>
      </c>
      <c r="J179" s="169"/>
    </row>
    <row r="180" spans="1:10" ht="15" thickBot="1" x14ac:dyDescent="0.3">
      <c r="A180" s="159"/>
      <c r="B180" s="162"/>
      <c r="C180" s="162"/>
      <c r="D180" s="71">
        <v>5</v>
      </c>
      <c r="E180" s="98" t="s">
        <v>573</v>
      </c>
      <c r="F180" s="73" t="s">
        <v>299</v>
      </c>
      <c r="G180" s="98" t="s">
        <v>580</v>
      </c>
      <c r="H180" s="98" t="s">
        <v>575</v>
      </c>
      <c r="I180" s="71" t="s">
        <v>393</v>
      </c>
      <c r="J180" s="171"/>
    </row>
    <row r="181" spans="1:10" ht="15" thickBot="1" x14ac:dyDescent="0.3"/>
    <row r="182" spans="1:10" ht="15" thickBot="1" x14ac:dyDescent="0.3">
      <c r="A182" s="154" t="s">
        <v>589</v>
      </c>
      <c r="B182" s="155"/>
      <c r="C182" s="155"/>
      <c r="D182" s="155"/>
      <c r="E182" s="155"/>
      <c r="F182" s="155"/>
      <c r="G182" s="155"/>
      <c r="H182" s="155"/>
      <c r="I182" s="155"/>
      <c r="J182" s="156"/>
    </row>
    <row r="183" spans="1:10" ht="15" thickBot="1" x14ac:dyDescent="0.3"/>
    <row r="184" spans="1:10" ht="15.6" customHeight="1" x14ac:dyDescent="0.25">
      <c r="A184" s="157" t="s">
        <v>612</v>
      </c>
      <c r="B184" s="160" t="s">
        <v>758</v>
      </c>
      <c r="C184" s="160" t="s">
        <v>592</v>
      </c>
      <c r="D184" s="68">
        <v>1</v>
      </c>
      <c r="E184" s="99" t="s">
        <v>503</v>
      </c>
      <c r="F184" s="68" t="s">
        <v>487</v>
      </c>
      <c r="G184" s="99" t="s">
        <v>326</v>
      </c>
      <c r="H184" s="99" t="s">
        <v>504</v>
      </c>
      <c r="I184" s="68" t="s">
        <v>393</v>
      </c>
      <c r="J184" s="168" t="s">
        <v>37</v>
      </c>
    </row>
    <row r="185" spans="1:10" x14ac:dyDescent="0.25">
      <c r="A185" s="158"/>
      <c r="B185" s="161"/>
      <c r="C185" s="161"/>
      <c r="D185" s="14">
        <v>2</v>
      </c>
      <c r="E185" s="96" t="s">
        <v>600</v>
      </c>
      <c r="F185" s="35">
        <v>46336</v>
      </c>
      <c r="G185" s="96" t="s">
        <v>508</v>
      </c>
      <c r="H185" s="96" t="s">
        <v>285</v>
      </c>
      <c r="I185" s="14" t="s">
        <v>393</v>
      </c>
      <c r="J185" s="169"/>
    </row>
    <row r="186" spans="1:10" x14ac:dyDescent="0.25">
      <c r="A186" s="158"/>
      <c r="B186" s="161"/>
      <c r="C186" s="161"/>
      <c r="D186" s="14">
        <v>3</v>
      </c>
      <c r="E186" s="96" t="s">
        <v>505</v>
      </c>
      <c r="F186" s="14" t="s">
        <v>506</v>
      </c>
      <c r="G186" s="96" t="s">
        <v>507</v>
      </c>
      <c r="H186" s="96" t="s">
        <v>509</v>
      </c>
      <c r="I186" s="14" t="s">
        <v>393</v>
      </c>
      <c r="J186" s="169"/>
    </row>
    <row r="187" spans="1:10" x14ac:dyDescent="0.25">
      <c r="A187" s="158"/>
      <c r="B187" s="161"/>
      <c r="C187" s="161"/>
      <c r="D187" s="14">
        <v>4</v>
      </c>
      <c r="E187" s="96" t="s">
        <v>602</v>
      </c>
      <c r="F187" s="14" t="s">
        <v>603</v>
      </c>
      <c r="G187" s="96" t="s">
        <v>507</v>
      </c>
      <c r="H187" s="96" t="s">
        <v>509</v>
      </c>
      <c r="I187" s="14" t="s">
        <v>393</v>
      </c>
      <c r="J187" s="169"/>
    </row>
    <row r="188" spans="1:10" x14ac:dyDescent="0.25">
      <c r="A188" s="158"/>
      <c r="B188" s="161"/>
      <c r="C188" s="161"/>
      <c r="D188" s="14">
        <v>5</v>
      </c>
      <c r="E188" s="96" t="s">
        <v>604</v>
      </c>
      <c r="F188" s="35">
        <v>46346</v>
      </c>
      <c r="G188" s="96" t="s">
        <v>508</v>
      </c>
      <c r="H188" s="96" t="s">
        <v>386</v>
      </c>
      <c r="I188" s="14" t="s">
        <v>393</v>
      </c>
      <c r="J188" s="169"/>
    </row>
    <row r="189" spans="1:10" x14ac:dyDescent="0.25">
      <c r="A189" s="158"/>
      <c r="B189" s="161"/>
      <c r="C189" s="161"/>
      <c r="D189" s="14">
        <v>6</v>
      </c>
      <c r="E189" s="95" t="s">
        <v>605</v>
      </c>
      <c r="F189" s="14">
        <v>2</v>
      </c>
      <c r="G189" s="95" t="s">
        <v>517</v>
      </c>
      <c r="H189" s="95" t="s">
        <v>285</v>
      </c>
      <c r="I189" s="14" t="s">
        <v>393</v>
      </c>
      <c r="J189" s="169"/>
    </row>
    <row r="190" spans="1:10" x14ac:dyDescent="0.25">
      <c r="A190" s="158"/>
      <c r="B190" s="161"/>
      <c r="C190" s="161"/>
      <c r="D190" s="14">
        <v>7</v>
      </c>
      <c r="E190" s="95" t="s">
        <v>606</v>
      </c>
      <c r="F190" s="14">
        <v>506</v>
      </c>
      <c r="G190" s="95" t="s">
        <v>607</v>
      </c>
      <c r="H190" s="95" t="s">
        <v>608</v>
      </c>
      <c r="I190" s="14" t="s">
        <v>393</v>
      </c>
      <c r="J190" s="169"/>
    </row>
    <row r="191" spans="1:10" x14ac:dyDescent="0.25">
      <c r="A191" s="166"/>
      <c r="B191" s="167"/>
      <c r="C191" s="167"/>
      <c r="D191" s="14">
        <v>8</v>
      </c>
      <c r="E191" s="110" t="s">
        <v>643</v>
      </c>
      <c r="F191" s="111" t="s">
        <v>267</v>
      </c>
      <c r="G191" s="110" t="s">
        <v>644</v>
      </c>
      <c r="H191" s="110" t="s">
        <v>645</v>
      </c>
      <c r="I191" s="88" t="s">
        <v>393</v>
      </c>
      <c r="J191" s="170"/>
    </row>
    <row r="192" spans="1:10" ht="15" thickBot="1" x14ac:dyDescent="0.3">
      <c r="A192" s="159"/>
      <c r="B192" s="162"/>
      <c r="C192" s="162"/>
      <c r="D192" s="14">
        <v>9</v>
      </c>
      <c r="E192" s="98" t="s">
        <v>609</v>
      </c>
      <c r="F192" s="73" t="s">
        <v>267</v>
      </c>
      <c r="G192" s="98" t="s">
        <v>610</v>
      </c>
      <c r="H192" s="98" t="s">
        <v>611</v>
      </c>
      <c r="I192" s="71" t="s">
        <v>393</v>
      </c>
      <c r="J192" s="171"/>
    </row>
    <row r="193" spans="1:10" ht="15" thickBot="1" x14ac:dyDescent="0.3"/>
    <row r="194" spans="1:10" ht="14.4" customHeight="1" x14ac:dyDescent="0.25">
      <c r="A194" s="184" t="s">
        <v>616</v>
      </c>
      <c r="B194" s="181" t="s">
        <v>759</v>
      </c>
      <c r="C194" s="181" t="s">
        <v>592</v>
      </c>
      <c r="D194" s="68">
        <v>1</v>
      </c>
      <c r="E194" s="99" t="s">
        <v>503</v>
      </c>
      <c r="F194" s="68" t="s">
        <v>490</v>
      </c>
      <c r="G194" s="99" t="s">
        <v>326</v>
      </c>
      <c r="H194" s="99" t="s">
        <v>504</v>
      </c>
      <c r="I194" s="68" t="s">
        <v>393</v>
      </c>
      <c r="J194" s="190" t="s">
        <v>37</v>
      </c>
    </row>
    <row r="195" spans="1:10" x14ac:dyDescent="0.25">
      <c r="A195" s="185"/>
      <c r="B195" s="182"/>
      <c r="C195" s="182"/>
      <c r="D195" s="14">
        <v>2</v>
      </c>
      <c r="E195" s="96" t="s">
        <v>600</v>
      </c>
      <c r="F195" s="35" t="s">
        <v>613</v>
      </c>
      <c r="G195" s="96" t="s">
        <v>508</v>
      </c>
      <c r="H195" s="96" t="s">
        <v>285</v>
      </c>
      <c r="I195" s="14" t="s">
        <v>393</v>
      </c>
      <c r="J195" s="191"/>
    </row>
    <row r="196" spans="1:10" x14ac:dyDescent="0.25">
      <c r="A196" s="185"/>
      <c r="B196" s="182"/>
      <c r="C196" s="182"/>
      <c r="D196" s="14">
        <v>3</v>
      </c>
      <c r="E196" s="96" t="s">
        <v>505</v>
      </c>
      <c r="F196" s="14" t="s">
        <v>506</v>
      </c>
      <c r="G196" s="96" t="s">
        <v>507</v>
      </c>
      <c r="H196" s="96" t="s">
        <v>509</v>
      </c>
      <c r="I196" s="14" t="s">
        <v>393</v>
      </c>
      <c r="J196" s="191"/>
    </row>
    <row r="197" spans="1:10" x14ac:dyDescent="0.25">
      <c r="A197" s="185"/>
      <c r="B197" s="182"/>
      <c r="C197" s="182"/>
      <c r="D197" s="14">
        <v>4</v>
      </c>
      <c r="E197" s="96" t="s">
        <v>602</v>
      </c>
      <c r="F197" s="14" t="s">
        <v>603</v>
      </c>
      <c r="G197" s="96" t="s">
        <v>507</v>
      </c>
      <c r="H197" s="96" t="s">
        <v>509</v>
      </c>
      <c r="I197" s="14" t="s">
        <v>393</v>
      </c>
      <c r="J197" s="191"/>
    </row>
    <row r="198" spans="1:10" x14ac:dyDescent="0.25">
      <c r="A198" s="185"/>
      <c r="B198" s="182"/>
      <c r="C198" s="182"/>
      <c r="D198" s="14">
        <v>5</v>
      </c>
      <c r="E198" s="96" t="s">
        <v>604</v>
      </c>
      <c r="F198" s="35">
        <v>46346</v>
      </c>
      <c r="G198" s="96" t="s">
        <v>508</v>
      </c>
      <c r="H198" s="96" t="s">
        <v>386</v>
      </c>
      <c r="I198" s="14" t="s">
        <v>393</v>
      </c>
      <c r="J198" s="191"/>
    </row>
    <row r="199" spans="1:10" x14ac:dyDescent="0.25">
      <c r="A199" s="185"/>
      <c r="B199" s="182"/>
      <c r="C199" s="182"/>
      <c r="D199" s="14">
        <v>6</v>
      </c>
      <c r="E199" s="95" t="s">
        <v>605</v>
      </c>
      <c r="F199" s="14">
        <v>2</v>
      </c>
      <c r="G199" s="95" t="s">
        <v>517</v>
      </c>
      <c r="H199" s="95" t="s">
        <v>285</v>
      </c>
      <c r="I199" s="14" t="s">
        <v>393</v>
      </c>
      <c r="J199" s="191"/>
    </row>
    <row r="200" spans="1:10" x14ac:dyDescent="0.25">
      <c r="A200" s="185"/>
      <c r="B200" s="182"/>
      <c r="C200" s="182"/>
      <c r="D200" s="14">
        <v>7</v>
      </c>
      <c r="E200" s="95" t="s">
        <v>606</v>
      </c>
      <c r="F200" s="14">
        <v>506</v>
      </c>
      <c r="G200" s="95" t="s">
        <v>607</v>
      </c>
      <c r="H200" s="95" t="s">
        <v>608</v>
      </c>
      <c r="I200" s="14" t="s">
        <v>393</v>
      </c>
      <c r="J200" s="191"/>
    </row>
    <row r="201" spans="1:10" x14ac:dyDescent="0.25">
      <c r="A201" s="185"/>
      <c r="B201" s="182"/>
      <c r="C201" s="182"/>
      <c r="D201" s="14">
        <v>8</v>
      </c>
      <c r="E201" s="110" t="s">
        <v>643</v>
      </c>
      <c r="F201" s="111" t="s">
        <v>267</v>
      </c>
      <c r="G201" s="110" t="s">
        <v>644</v>
      </c>
      <c r="H201" s="110" t="s">
        <v>645</v>
      </c>
      <c r="I201" s="88" t="s">
        <v>393</v>
      </c>
      <c r="J201" s="191"/>
    </row>
    <row r="202" spans="1:10" ht="15" thickBot="1" x14ac:dyDescent="0.3">
      <c r="A202" s="186"/>
      <c r="B202" s="183"/>
      <c r="C202" s="183"/>
      <c r="D202" s="14">
        <v>9</v>
      </c>
      <c r="E202" s="98" t="s">
        <v>609</v>
      </c>
      <c r="F202" s="73" t="s">
        <v>267</v>
      </c>
      <c r="G202" s="98" t="s">
        <v>614</v>
      </c>
      <c r="H202" s="98" t="s">
        <v>615</v>
      </c>
      <c r="I202" s="71" t="s">
        <v>393</v>
      </c>
      <c r="J202" s="192"/>
    </row>
    <row r="203" spans="1:10" ht="15" thickBot="1" x14ac:dyDescent="0.3"/>
    <row r="204" spans="1:10" x14ac:dyDescent="0.25">
      <c r="A204" s="157" t="s">
        <v>621</v>
      </c>
      <c r="B204" s="160" t="s">
        <v>760</v>
      </c>
      <c r="C204" s="160" t="s">
        <v>592</v>
      </c>
      <c r="D204" s="68">
        <v>1</v>
      </c>
      <c r="E204" s="99" t="s">
        <v>503</v>
      </c>
      <c r="F204" s="68" t="s">
        <v>489</v>
      </c>
      <c r="G204" s="99" t="s">
        <v>326</v>
      </c>
      <c r="H204" s="99" t="s">
        <v>504</v>
      </c>
      <c r="I204" s="68" t="s">
        <v>393</v>
      </c>
      <c r="J204" s="168" t="s">
        <v>37</v>
      </c>
    </row>
    <row r="205" spans="1:10" x14ac:dyDescent="0.25">
      <c r="A205" s="158"/>
      <c r="B205" s="161"/>
      <c r="C205" s="161"/>
      <c r="D205" s="14">
        <v>2</v>
      </c>
      <c r="E205" s="96" t="s">
        <v>600</v>
      </c>
      <c r="F205" s="35">
        <v>46336</v>
      </c>
      <c r="G205" s="96" t="s">
        <v>508</v>
      </c>
      <c r="H205" s="96" t="s">
        <v>285</v>
      </c>
      <c r="I205" s="14" t="s">
        <v>393</v>
      </c>
      <c r="J205" s="169"/>
    </row>
    <row r="206" spans="1:10" x14ac:dyDescent="0.25">
      <c r="A206" s="158"/>
      <c r="B206" s="161"/>
      <c r="C206" s="161"/>
      <c r="D206" s="14">
        <v>3</v>
      </c>
      <c r="E206" s="96" t="s">
        <v>505</v>
      </c>
      <c r="F206" s="14" t="s">
        <v>506</v>
      </c>
      <c r="G206" s="96" t="s">
        <v>507</v>
      </c>
      <c r="H206" s="96" t="s">
        <v>509</v>
      </c>
      <c r="I206" s="14" t="s">
        <v>393</v>
      </c>
      <c r="J206" s="169"/>
    </row>
    <row r="207" spans="1:10" x14ac:dyDescent="0.25">
      <c r="A207" s="158"/>
      <c r="B207" s="161"/>
      <c r="C207" s="161"/>
      <c r="D207" s="14">
        <v>4</v>
      </c>
      <c r="E207" s="96" t="s">
        <v>602</v>
      </c>
      <c r="F207" s="14" t="s">
        <v>617</v>
      </c>
      <c r="G207" s="96" t="s">
        <v>507</v>
      </c>
      <c r="H207" s="96" t="s">
        <v>509</v>
      </c>
      <c r="I207" s="14" t="s">
        <v>393</v>
      </c>
      <c r="J207" s="169"/>
    </row>
    <row r="208" spans="1:10" x14ac:dyDescent="0.25">
      <c r="A208" s="158"/>
      <c r="B208" s="161"/>
      <c r="C208" s="161"/>
      <c r="D208" s="14">
        <v>5</v>
      </c>
      <c r="E208" s="96" t="s">
        <v>604</v>
      </c>
      <c r="F208" s="35">
        <v>46346</v>
      </c>
      <c r="G208" s="96" t="s">
        <v>508</v>
      </c>
      <c r="H208" s="96" t="s">
        <v>386</v>
      </c>
      <c r="I208" s="14" t="s">
        <v>393</v>
      </c>
      <c r="J208" s="169"/>
    </row>
    <row r="209" spans="1:10" x14ac:dyDescent="0.25">
      <c r="A209" s="158"/>
      <c r="B209" s="161"/>
      <c r="C209" s="161"/>
      <c r="D209" s="14">
        <v>6</v>
      </c>
      <c r="E209" s="95" t="s">
        <v>605</v>
      </c>
      <c r="F209" s="14">
        <v>2</v>
      </c>
      <c r="G209" s="95" t="s">
        <v>517</v>
      </c>
      <c r="H209" s="95" t="s">
        <v>285</v>
      </c>
      <c r="I209" s="14" t="s">
        <v>393</v>
      </c>
      <c r="J209" s="169"/>
    </row>
    <row r="210" spans="1:10" x14ac:dyDescent="0.25">
      <c r="A210" s="158"/>
      <c r="B210" s="161"/>
      <c r="C210" s="161"/>
      <c r="D210" s="14">
        <v>7</v>
      </c>
      <c r="E210" s="95" t="s">
        <v>606</v>
      </c>
      <c r="F210" s="14">
        <v>250</v>
      </c>
      <c r="G210" s="95" t="s">
        <v>607</v>
      </c>
      <c r="H210" s="95" t="s">
        <v>608</v>
      </c>
      <c r="I210" s="14" t="s">
        <v>393</v>
      </c>
      <c r="J210" s="169"/>
    </row>
    <row r="211" spans="1:10" x14ac:dyDescent="0.25">
      <c r="A211" s="166"/>
      <c r="B211" s="167"/>
      <c r="C211" s="167"/>
      <c r="D211" s="14">
        <v>8</v>
      </c>
      <c r="E211" s="110" t="s">
        <v>643</v>
      </c>
      <c r="F211" s="111" t="s">
        <v>267</v>
      </c>
      <c r="G211" s="110" t="s">
        <v>644</v>
      </c>
      <c r="H211" s="110" t="s">
        <v>645</v>
      </c>
      <c r="I211" s="88" t="s">
        <v>393</v>
      </c>
      <c r="J211" s="170"/>
    </row>
    <row r="212" spans="1:10" ht="15" thickBot="1" x14ac:dyDescent="0.3">
      <c r="A212" s="159"/>
      <c r="B212" s="162"/>
      <c r="C212" s="162"/>
      <c r="D212" s="14">
        <v>9</v>
      </c>
      <c r="E212" s="98" t="s">
        <v>609</v>
      </c>
      <c r="F212" s="73" t="s">
        <v>267</v>
      </c>
      <c r="G212" s="98" t="s">
        <v>614</v>
      </c>
      <c r="H212" s="98" t="s">
        <v>618</v>
      </c>
      <c r="I212" s="71" t="s">
        <v>393</v>
      </c>
      <c r="J212" s="171"/>
    </row>
    <row r="213" spans="1:10" ht="15" thickBot="1" x14ac:dyDescent="0.3"/>
    <row r="214" spans="1:10" x14ac:dyDescent="0.25">
      <c r="A214" s="157" t="s">
        <v>627</v>
      </c>
      <c r="B214" s="160" t="s">
        <v>761</v>
      </c>
      <c r="C214" s="160" t="s">
        <v>592</v>
      </c>
      <c r="D214" s="68">
        <v>1</v>
      </c>
      <c r="E214" s="99" t="s">
        <v>503</v>
      </c>
      <c r="F214" s="68" t="s">
        <v>486</v>
      </c>
      <c r="G214" s="99" t="s">
        <v>326</v>
      </c>
      <c r="H214" s="99" t="s">
        <v>504</v>
      </c>
      <c r="I214" s="68" t="s">
        <v>393</v>
      </c>
      <c r="J214" s="168" t="s">
        <v>182</v>
      </c>
    </row>
    <row r="215" spans="1:10" x14ac:dyDescent="0.25">
      <c r="A215" s="158"/>
      <c r="B215" s="161"/>
      <c r="C215" s="161"/>
      <c r="D215" s="14">
        <v>2</v>
      </c>
      <c r="E215" s="96" t="s">
        <v>600</v>
      </c>
      <c r="F215" s="35">
        <v>46336</v>
      </c>
      <c r="G215" s="96" t="s">
        <v>508</v>
      </c>
      <c r="H215" s="96" t="s">
        <v>285</v>
      </c>
      <c r="I215" s="14" t="s">
        <v>393</v>
      </c>
      <c r="J215" s="169"/>
    </row>
    <row r="216" spans="1:10" x14ac:dyDescent="0.25">
      <c r="A216" s="158"/>
      <c r="B216" s="161"/>
      <c r="C216" s="161"/>
      <c r="D216" s="14">
        <v>3</v>
      </c>
      <c r="E216" s="96" t="s">
        <v>505</v>
      </c>
      <c r="F216" s="14" t="s">
        <v>506</v>
      </c>
      <c r="G216" s="96" t="s">
        <v>507</v>
      </c>
      <c r="H216" s="96" t="s">
        <v>509</v>
      </c>
      <c r="I216" s="14" t="s">
        <v>393</v>
      </c>
      <c r="J216" s="169"/>
    </row>
    <row r="217" spans="1:10" x14ac:dyDescent="0.25">
      <c r="A217" s="158"/>
      <c r="B217" s="161"/>
      <c r="C217" s="161"/>
      <c r="D217" s="14">
        <v>4</v>
      </c>
      <c r="E217" s="96" t="s">
        <v>602</v>
      </c>
      <c r="F217" s="14" t="s">
        <v>603</v>
      </c>
      <c r="G217" s="96" t="s">
        <v>507</v>
      </c>
      <c r="H217" s="96" t="s">
        <v>509</v>
      </c>
      <c r="I217" s="14" t="s">
        <v>393</v>
      </c>
      <c r="J217" s="169"/>
    </row>
    <row r="218" spans="1:10" x14ac:dyDescent="0.25">
      <c r="A218" s="158"/>
      <c r="B218" s="161"/>
      <c r="C218" s="161"/>
      <c r="D218" s="14">
        <v>5</v>
      </c>
      <c r="E218" s="96" t="s">
        <v>604</v>
      </c>
      <c r="F218" s="35" t="s">
        <v>622</v>
      </c>
      <c r="G218" s="96" t="s">
        <v>625</v>
      </c>
      <c r="H218" s="96" t="s">
        <v>626</v>
      </c>
      <c r="I218" s="14" t="s">
        <v>457</v>
      </c>
      <c r="J218" s="169"/>
    </row>
    <row r="219" spans="1:10" x14ac:dyDescent="0.25">
      <c r="A219" s="158"/>
      <c r="B219" s="161"/>
      <c r="C219" s="161"/>
      <c r="D219" s="14">
        <v>6</v>
      </c>
      <c r="E219" s="95" t="s">
        <v>605</v>
      </c>
      <c r="F219" s="14">
        <v>2</v>
      </c>
      <c r="G219" s="95" t="s">
        <v>517</v>
      </c>
      <c r="H219" s="95" t="s">
        <v>285</v>
      </c>
      <c r="I219" s="14" t="s">
        <v>393</v>
      </c>
      <c r="J219" s="169"/>
    </row>
    <row r="220" spans="1:10" x14ac:dyDescent="0.25">
      <c r="A220" s="158"/>
      <c r="B220" s="161"/>
      <c r="C220" s="161"/>
      <c r="D220" s="14">
        <v>7</v>
      </c>
      <c r="E220" s="95" t="s">
        <v>606</v>
      </c>
      <c r="F220" s="14">
        <v>506</v>
      </c>
      <c r="G220" s="95" t="s">
        <v>607</v>
      </c>
      <c r="H220" s="95" t="s">
        <v>608</v>
      </c>
      <c r="I220" s="14" t="s">
        <v>393</v>
      </c>
      <c r="J220" s="169"/>
    </row>
    <row r="221" spans="1:10" x14ac:dyDescent="0.25">
      <c r="A221" s="166"/>
      <c r="B221" s="167"/>
      <c r="C221" s="167"/>
      <c r="D221" s="14">
        <v>8</v>
      </c>
      <c r="E221" s="110" t="s">
        <v>643</v>
      </c>
      <c r="F221" s="111" t="s">
        <v>267</v>
      </c>
      <c r="G221" s="110" t="s">
        <v>644</v>
      </c>
      <c r="H221" s="110" t="s">
        <v>645</v>
      </c>
      <c r="I221" s="88" t="s">
        <v>393</v>
      </c>
      <c r="J221" s="170"/>
    </row>
    <row r="222" spans="1:10" ht="15" thickBot="1" x14ac:dyDescent="0.3">
      <c r="A222" s="159"/>
      <c r="B222" s="162"/>
      <c r="C222" s="162"/>
      <c r="D222" s="14">
        <v>9</v>
      </c>
      <c r="E222" s="98" t="s">
        <v>609</v>
      </c>
      <c r="F222" s="73" t="s">
        <v>267</v>
      </c>
      <c r="G222" s="98" t="s">
        <v>623</v>
      </c>
      <c r="H222" s="98" t="s">
        <v>624</v>
      </c>
      <c r="I222" s="71" t="s">
        <v>457</v>
      </c>
      <c r="J222" s="171"/>
    </row>
    <row r="223" spans="1:10" ht="15" thickBot="1" x14ac:dyDescent="0.3"/>
    <row r="224" spans="1:10" x14ac:dyDescent="0.25">
      <c r="A224" s="157" t="s">
        <v>630</v>
      </c>
      <c r="B224" s="160" t="s">
        <v>762</v>
      </c>
      <c r="C224" s="160" t="s">
        <v>592</v>
      </c>
      <c r="D224" s="68">
        <v>1</v>
      </c>
      <c r="E224" s="99" t="s">
        <v>503</v>
      </c>
      <c r="F224" s="68" t="s">
        <v>490</v>
      </c>
      <c r="G224" s="99" t="s">
        <v>326</v>
      </c>
      <c r="H224" s="99" t="s">
        <v>504</v>
      </c>
      <c r="I224" s="68" t="s">
        <v>393</v>
      </c>
      <c r="J224" s="168" t="s">
        <v>182</v>
      </c>
    </row>
    <row r="225" spans="1:10" x14ac:dyDescent="0.25">
      <c r="A225" s="158"/>
      <c r="B225" s="161"/>
      <c r="C225" s="161"/>
      <c r="D225" s="14">
        <v>2</v>
      </c>
      <c r="E225" s="96" t="s">
        <v>600</v>
      </c>
      <c r="F225" s="35">
        <v>46336</v>
      </c>
      <c r="G225" s="96" t="s">
        <v>508</v>
      </c>
      <c r="H225" s="96" t="s">
        <v>285</v>
      </c>
      <c r="I225" s="14" t="s">
        <v>393</v>
      </c>
      <c r="J225" s="169"/>
    </row>
    <row r="226" spans="1:10" x14ac:dyDescent="0.25">
      <c r="A226" s="158"/>
      <c r="B226" s="161"/>
      <c r="C226" s="161"/>
      <c r="D226" s="14">
        <v>3</v>
      </c>
      <c r="E226" s="96" t="s">
        <v>505</v>
      </c>
      <c r="F226" s="14" t="s">
        <v>506</v>
      </c>
      <c r="G226" s="96" t="s">
        <v>507</v>
      </c>
      <c r="H226" s="96" t="s">
        <v>509</v>
      </c>
      <c r="I226" s="14" t="s">
        <v>393</v>
      </c>
      <c r="J226" s="169"/>
    </row>
    <row r="227" spans="1:10" x14ac:dyDescent="0.25">
      <c r="A227" s="158"/>
      <c r="B227" s="161"/>
      <c r="C227" s="161"/>
      <c r="D227" s="14">
        <v>4</v>
      </c>
      <c r="E227" s="96" t="s">
        <v>602</v>
      </c>
      <c r="F227" s="14" t="s">
        <v>603</v>
      </c>
      <c r="G227" s="96" t="s">
        <v>507</v>
      </c>
      <c r="H227" s="96" t="s">
        <v>509</v>
      </c>
      <c r="I227" s="14" t="s">
        <v>393</v>
      </c>
      <c r="J227" s="169"/>
    </row>
    <row r="228" spans="1:10" x14ac:dyDescent="0.25">
      <c r="A228" s="158"/>
      <c r="B228" s="161"/>
      <c r="C228" s="161"/>
      <c r="D228" s="14">
        <v>5</v>
      </c>
      <c r="E228" s="96" t="s">
        <v>604</v>
      </c>
      <c r="F228" s="35">
        <v>46346</v>
      </c>
      <c r="G228" s="96" t="s">
        <v>508</v>
      </c>
      <c r="H228" s="96" t="s">
        <v>386</v>
      </c>
      <c r="I228" s="14" t="s">
        <v>393</v>
      </c>
      <c r="J228" s="169"/>
    </row>
    <row r="229" spans="1:10" x14ac:dyDescent="0.25">
      <c r="A229" s="158"/>
      <c r="B229" s="161"/>
      <c r="C229" s="161"/>
      <c r="D229" s="14">
        <v>6</v>
      </c>
      <c r="E229" s="95" t="s">
        <v>605</v>
      </c>
      <c r="F229" s="14" t="s">
        <v>628</v>
      </c>
      <c r="G229" s="95" t="s">
        <v>629</v>
      </c>
      <c r="H229" s="95" t="s">
        <v>285</v>
      </c>
      <c r="I229" s="14" t="s">
        <v>457</v>
      </c>
      <c r="J229" s="169"/>
    </row>
    <row r="230" spans="1:10" x14ac:dyDescent="0.25">
      <c r="A230" s="158"/>
      <c r="B230" s="161"/>
      <c r="C230" s="161"/>
      <c r="D230" s="14">
        <v>7</v>
      </c>
      <c r="E230" s="95" t="s">
        <v>606</v>
      </c>
      <c r="F230" s="14">
        <v>506</v>
      </c>
      <c r="G230" s="95" t="s">
        <v>607</v>
      </c>
      <c r="H230" s="95" t="s">
        <v>608</v>
      </c>
      <c r="I230" s="14" t="s">
        <v>393</v>
      </c>
      <c r="J230" s="169"/>
    </row>
    <row r="231" spans="1:10" x14ac:dyDescent="0.25">
      <c r="A231" s="166"/>
      <c r="B231" s="167"/>
      <c r="C231" s="167"/>
      <c r="D231" s="14">
        <v>8</v>
      </c>
      <c r="E231" s="110" t="s">
        <v>643</v>
      </c>
      <c r="F231" s="111" t="s">
        <v>267</v>
      </c>
      <c r="G231" s="110" t="s">
        <v>644</v>
      </c>
      <c r="H231" s="110" t="s">
        <v>645</v>
      </c>
      <c r="I231" s="88" t="s">
        <v>393</v>
      </c>
      <c r="J231" s="170"/>
    </row>
    <row r="232" spans="1:10" ht="15" thickBot="1" x14ac:dyDescent="0.3">
      <c r="A232" s="159"/>
      <c r="B232" s="162"/>
      <c r="C232" s="162"/>
      <c r="D232" s="14">
        <v>9</v>
      </c>
      <c r="E232" s="98" t="s">
        <v>609</v>
      </c>
      <c r="F232" s="73" t="s">
        <v>267</v>
      </c>
      <c r="G232" s="98" t="s">
        <v>623</v>
      </c>
      <c r="H232" s="98" t="s">
        <v>624</v>
      </c>
      <c r="I232" s="71" t="s">
        <v>457</v>
      </c>
      <c r="J232" s="171"/>
    </row>
    <row r="233" spans="1:10" ht="15" thickBot="1" x14ac:dyDescent="0.3"/>
    <row r="234" spans="1:10" x14ac:dyDescent="0.25">
      <c r="A234" s="157" t="s">
        <v>642</v>
      </c>
      <c r="B234" s="160" t="s">
        <v>763</v>
      </c>
      <c r="C234" s="160" t="s">
        <v>592</v>
      </c>
      <c r="D234" s="68">
        <v>1</v>
      </c>
      <c r="E234" s="99" t="s">
        <v>503</v>
      </c>
      <c r="F234" s="68" t="s">
        <v>489</v>
      </c>
      <c r="G234" s="99" t="s">
        <v>326</v>
      </c>
      <c r="H234" s="99" t="s">
        <v>504</v>
      </c>
      <c r="I234" s="68" t="s">
        <v>393</v>
      </c>
      <c r="J234" s="168" t="s">
        <v>182</v>
      </c>
    </row>
    <row r="235" spans="1:10" x14ac:dyDescent="0.25">
      <c r="A235" s="158"/>
      <c r="B235" s="161"/>
      <c r="C235" s="161"/>
      <c r="D235" s="14">
        <v>2</v>
      </c>
      <c r="E235" s="96" t="s">
        <v>600</v>
      </c>
      <c r="F235" s="35">
        <v>46336</v>
      </c>
      <c r="G235" s="96" t="s">
        <v>508</v>
      </c>
      <c r="H235" s="96" t="s">
        <v>285</v>
      </c>
      <c r="I235" s="14" t="s">
        <v>393</v>
      </c>
      <c r="J235" s="169"/>
    </row>
    <row r="236" spans="1:10" x14ac:dyDescent="0.25">
      <c r="A236" s="158"/>
      <c r="B236" s="161"/>
      <c r="C236" s="161"/>
      <c r="D236" s="14">
        <v>3</v>
      </c>
      <c r="E236" s="96" t="s">
        <v>505</v>
      </c>
      <c r="F236" s="14" t="s">
        <v>506</v>
      </c>
      <c r="G236" s="96" t="s">
        <v>507</v>
      </c>
      <c r="H236" s="96" t="s">
        <v>509</v>
      </c>
      <c r="I236" s="14" t="s">
        <v>393</v>
      </c>
      <c r="J236" s="169"/>
    </row>
    <row r="237" spans="1:10" x14ac:dyDescent="0.25">
      <c r="A237" s="158"/>
      <c r="B237" s="161"/>
      <c r="C237" s="161"/>
      <c r="D237" s="14">
        <v>4</v>
      </c>
      <c r="E237" s="96" t="s">
        <v>602</v>
      </c>
      <c r="F237" s="14" t="s">
        <v>603</v>
      </c>
      <c r="G237" s="96" t="s">
        <v>507</v>
      </c>
      <c r="H237" s="96" t="s">
        <v>509</v>
      </c>
      <c r="I237" s="14" t="s">
        <v>393</v>
      </c>
      <c r="J237" s="169"/>
    </row>
    <row r="238" spans="1:10" x14ac:dyDescent="0.25">
      <c r="A238" s="158"/>
      <c r="B238" s="161"/>
      <c r="C238" s="161"/>
      <c r="D238" s="14">
        <v>5</v>
      </c>
      <c r="E238" s="96" t="s">
        <v>604</v>
      </c>
      <c r="F238" s="35">
        <v>46351</v>
      </c>
      <c r="G238" s="96" t="s">
        <v>508</v>
      </c>
      <c r="H238" s="96" t="s">
        <v>386</v>
      </c>
      <c r="I238" s="14" t="s">
        <v>393</v>
      </c>
      <c r="J238" s="169"/>
    </row>
    <row r="239" spans="1:10" x14ac:dyDescent="0.25">
      <c r="A239" s="158"/>
      <c r="B239" s="161"/>
      <c r="C239" s="161"/>
      <c r="D239" s="14">
        <v>6</v>
      </c>
      <c r="E239" s="95" t="s">
        <v>605</v>
      </c>
      <c r="F239" s="14">
        <v>2</v>
      </c>
      <c r="G239" s="95" t="s">
        <v>517</v>
      </c>
      <c r="H239" s="95" t="s">
        <v>285</v>
      </c>
      <c r="I239" s="14" t="s">
        <v>393</v>
      </c>
      <c r="J239" s="169"/>
    </row>
    <row r="240" spans="1:10" x14ac:dyDescent="0.25">
      <c r="A240" s="158"/>
      <c r="B240" s="161"/>
      <c r="C240" s="161"/>
      <c r="D240" s="14">
        <v>7</v>
      </c>
      <c r="E240" s="95" t="s">
        <v>606</v>
      </c>
      <c r="F240" s="14" t="s">
        <v>631</v>
      </c>
      <c r="G240" s="95" t="s">
        <v>632</v>
      </c>
      <c r="H240" s="95" t="s">
        <v>608</v>
      </c>
      <c r="I240" s="14" t="s">
        <v>457</v>
      </c>
      <c r="J240" s="169"/>
    </row>
    <row r="241" spans="1:10" x14ac:dyDescent="0.25">
      <c r="A241" s="166"/>
      <c r="B241" s="167"/>
      <c r="C241" s="167"/>
      <c r="D241" s="14">
        <v>8</v>
      </c>
      <c r="E241" s="110" t="s">
        <v>643</v>
      </c>
      <c r="F241" s="111" t="s">
        <v>267</v>
      </c>
      <c r="G241" s="110" t="s">
        <v>632</v>
      </c>
      <c r="H241" s="110" t="s">
        <v>646</v>
      </c>
      <c r="I241" s="88" t="s">
        <v>457</v>
      </c>
      <c r="J241" s="170"/>
    </row>
    <row r="242" spans="1:10" ht="15" thickBot="1" x14ac:dyDescent="0.3">
      <c r="A242" s="159"/>
      <c r="B242" s="162"/>
      <c r="C242" s="162"/>
      <c r="D242" s="14">
        <v>9</v>
      </c>
      <c r="E242" s="98" t="s">
        <v>609</v>
      </c>
      <c r="F242" s="73" t="s">
        <v>267</v>
      </c>
      <c r="G242" s="98" t="s">
        <v>623</v>
      </c>
      <c r="H242" s="98" t="s">
        <v>624</v>
      </c>
      <c r="I242" s="71" t="s">
        <v>457</v>
      </c>
      <c r="J242" s="171"/>
    </row>
    <row r="243" spans="1:10" ht="15" thickBot="1" x14ac:dyDescent="0.3"/>
    <row r="244" spans="1:10" ht="15" thickBot="1" x14ac:dyDescent="0.3">
      <c r="A244" s="154" t="s">
        <v>647</v>
      </c>
      <c r="B244" s="155"/>
      <c r="C244" s="155"/>
      <c r="D244" s="155"/>
      <c r="E244" s="155"/>
      <c r="F244" s="155"/>
      <c r="G244" s="155"/>
      <c r="H244" s="155"/>
      <c r="I244" s="155"/>
      <c r="J244" s="156"/>
    </row>
    <row r="245" spans="1:10" ht="15" thickBot="1" x14ac:dyDescent="0.3"/>
    <row r="246" spans="1:10" x14ac:dyDescent="0.25">
      <c r="A246" s="157" t="s">
        <v>683</v>
      </c>
      <c r="B246" s="160" t="s">
        <v>764</v>
      </c>
      <c r="C246" s="160" t="s">
        <v>427</v>
      </c>
      <c r="D246" s="68">
        <v>1</v>
      </c>
      <c r="E246" s="69" t="s">
        <v>648</v>
      </c>
      <c r="F246" s="68" t="s">
        <v>489</v>
      </c>
      <c r="G246" s="70" t="s">
        <v>444</v>
      </c>
      <c r="H246" s="70" t="s">
        <v>390</v>
      </c>
      <c r="I246" s="68" t="s">
        <v>393</v>
      </c>
      <c r="J246" s="163" t="s">
        <v>37</v>
      </c>
    </row>
    <row r="247" spans="1:10" x14ac:dyDescent="0.25">
      <c r="A247" s="158"/>
      <c r="B247" s="161"/>
      <c r="C247" s="161"/>
      <c r="D247" s="14">
        <v>2</v>
      </c>
      <c r="E247" s="4" t="s">
        <v>649</v>
      </c>
      <c r="F247" s="35">
        <v>46213</v>
      </c>
      <c r="G247" s="5" t="s">
        <v>385</v>
      </c>
      <c r="H247" s="5" t="s">
        <v>446</v>
      </c>
      <c r="I247" s="14" t="s">
        <v>393</v>
      </c>
      <c r="J247" s="164"/>
    </row>
    <row r="248" spans="1:10" x14ac:dyDescent="0.25">
      <c r="A248" s="158"/>
      <c r="B248" s="161"/>
      <c r="C248" s="161"/>
      <c r="D248" s="14">
        <v>3</v>
      </c>
      <c r="E248" s="4" t="s">
        <v>433</v>
      </c>
      <c r="F248" s="14" t="s">
        <v>443</v>
      </c>
      <c r="G248" s="5" t="s">
        <v>392</v>
      </c>
      <c r="H248" s="5" t="s">
        <v>285</v>
      </c>
      <c r="I248" s="14" t="s">
        <v>393</v>
      </c>
      <c r="J248" s="164"/>
    </row>
    <row r="249" spans="1:10" x14ac:dyDescent="0.25">
      <c r="A249" s="158"/>
      <c r="B249" s="161"/>
      <c r="C249" s="161"/>
      <c r="D249" s="14">
        <v>4</v>
      </c>
      <c r="E249" s="4" t="s">
        <v>438</v>
      </c>
      <c r="F249" s="14">
        <v>500</v>
      </c>
      <c r="G249" s="5" t="s">
        <v>447</v>
      </c>
      <c r="H249" s="5" t="s">
        <v>448</v>
      </c>
      <c r="I249" s="14" t="s">
        <v>393</v>
      </c>
      <c r="J249" s="164"/>
    </row>
    <row r="250" spans="1:10" x14ac:dyDescent="0.25">
      <c r="A250" s="158"/>
      <c r="B250" s="161"/>
      <c r="C250" s="161"/>
      <c r="D250" s="14">
        <v>5</v>
      </c>
      <c r="E250" s="4" t="s">
        <v>437</v>
      </c>
      <c r="F250" s="14">
        <v>20</v>
      </c>
      <c r="G250" s="5" t="s">
        <v>445</v>
      </c>
      <c r="H250" s="5" t="s">
        <v>448</v>
      </c>
      <c r="I250" s="14" t="s">
        <v>393</v>
      </c>
      <c r="J250" s="164"/>
    </row>
    <row r="251" spans="1:10" ht="28.8" x14ac:dyDescent="0.25">
      <c r="A251" s="158"/>
      <c r="B251" s="161"/>
      <c r="C251" s="161"/>
      <c r="D251" s="14">
        <v>6</v>
      </c>
      <c r="E251" s="4" t="s">
        <v>439</v>
      </c>
      <c r="F251" s="19" t="s">
        <v>267</v>
      </c>
      <c r="G251" s="5" t="s">
        <v>449</v>
      </c>
      <c r="H251" s="5" t="s">
        <v>450</v>
      </c>
      <c r="I251" s="14" t="s">
        <v>393</v>
      </c>
      <c r="J251" s="164"/>
    </row>
    <row r="252" spans="1:10" ht="15" thickBot="1" x14ac:dyDescent="0.3">
      <c r="A252" s="159"/>
      <c r="B252" s="162"/>
      <c r="C252" s="162"/>
      <c r="D252" s="71">
        <v>7</v>
      </c>
      <c r="E252" s="72" t="s">
        <v>440</v>
      </c>
      <c r="F252" s="73" t="s">
        <v>299</v>
      </c>
      <c r="G252" s="74" t="s">
        <v>451</v>
      </c>
      <c r="H252" s="74" t="s">
        <v>452</v>
      </c>
      <c r="I252" s="71" t="s">
        <v>393</v>
      </c>
      <c r="J252" s="165"/>
    </row>
    <row r="253" spans="1:10" ht="15" thickBot="1" x14ac:dyDescent="0.3">
      <c r="E253" s="1"/>
      <c r="G253" s="3"/>
      <c r="H253" s="3"/>
      <c r="J253" s="17"/>
    </row>
    <row r="254" spans="1:10" x14ac:dyDescent="0.25">
      <c r="A254" s="157" t="s">
        <v>684</v>
      </c>
      <c r="B254" s="160" t="s">
        <v>765</v>
      </c>
      <c r="C254" s="160" t="s">
        <v>427</v>
      </c>
      <c r="D254" s="68">
        <v>1</v>
      </c>
      <c r="E254" s="69" t="s">
        <v>648</v>
      </c>
      <c r="F254" s="68" t="s">
        <v>486</v>
      </c>
      <c r="G254" s="70" t="s">
        <v>444</v>
      </c>
      <c r="H254" s="70" t="s">
        <v>390</v>
      </c>
      <c r="I254" s="68" t="s">
        <v>393</v>
      </c>
      <c r="J254" s="163" t="s">
        <v>182</v>
      </c>
    </row>
    <row r="255" spans="1:10" x14ac:dyDescent="0.25">
      <c r="A255" s="158"/>
      <c r="B255" s="161"/>
      <c r="C255" s="161"/>
      <c r="D255" s="14">
        <v>2</v>
      </c>
      <c r="E255" s="4" t="s">
        <v>649</v>
      </c>
      <c r="F255" s="35">
        <v>46213</v>
      </c>
      <c r="G255" s="5" t="s">
        <v>385</v>
      </c>
      <c r="H255" s="5" t="s">
        <v>446</v>
      </c>
      <c r="I255" s="14" t="s">
        <v>393</v>
      </c>
      <c r="J255" s="164"/>
    </row>
    <row r="256" spans="1:10" x14ac:dyDescent="0.25">
      <c r="A256" s="158"/>
      <c r="B256" s="161"/>
      <c r="C256" s="161"/>
      <c r="D256" s="14">
        <v>3</v>
      </c>
      <c r="E256" s="4" t="s">
        <v>433</v>
      </c>
      <c r="F256" s="14" t="s">
        <v>443</v>
      </c>
      <c r="G256" s="5" t="s">
        <v>392</v>
      </c>
      <c r="H256" s="5" t="s">
        <v>285</v>
      </c>
      <c r="I256" s="14" t="s">
        <v>393</v>
      </c>
      <c r="J256" s="164"/>
    </row>
    <row r="257" spans="1:10" x14ac:dyDescent="0.25">
      <c r="A257" s="158"/>
      <c r="B257" s="161"/>
      <c r="C257" s="161"/>
      <c r="D257" s="14">
        <v>4</v>
      </c>
      <c r="E257" s="4" t="s">
        <v>454</v>
      </c>
      <c r="F257" s="14" t="s">
        <v>455</v>
      </c>
      <c r="G257" s="5" t="s">
        <v>447</v>
      </c>
      <c r="H257" s="5" t="s">
        <v>448</v>
      </c>
      <c r="I257" s="14" t="s">
        <v>393</v>
      </c>
      <c r="J257" s="164"/>
    </row>
    <row r="258" spans="1:10" x14ac:dyDescent="0.25">
      <c r="A258" s="158"/>
      <c r="B258" s="161"/>
      <c r="C258" s="161"/>
      <c r="D258" s="14">
        <v>4</v>
      </c>
      <c r="E258" s="4" t="s">
        <v>438</v>
      </c>
      <c r="F258" s="14">
        <v>500</v>
      </c>
      <c r="G258" s="5" t="s">
        <v>447</v>
      </c>
      <c r="H258" s="5" t="s">
        <v>448</v>
      </c>
      <c r="I258" s="14" t="s">
        <v>393</v>
      </c>
      <c r="J258" s="164"/>
    </row>
    <row r="259" spans="1:10" x14ac:dyDescent="0.25">
      <c r="A259" s="158"/>
      <c r="B259" s="161"/>
      <c r="C259" s="161"/>
      <c r="D259" s="14">
        <v>5</v>
      </c>
      <c r="E259" s="4" t="s">
        <v>437</v>
      </c>
      <c r="F259" s="14">
        <v>20</v>
      </c>
      <c r="G259" s="5" t="s">
        <v>445</v>
      </c>
      <c r="H259" s="5" t="s">
        <v>448</v>
      </c>
      <c r="I259" s="14" t="s">
        <v>393</v>
      </c>
      <c r="J259" s="164"/>
    </row>
    <row r="260" spans="1:10" ht="28.8" x14ac:dyDescent="0.25">
      <c r="A260" s="158"/>
      <c r="B260" s="161"/>
      <c r="C260" s="161"/>
      <c r="D260" s="14">
        <v>6</v>
      </c>
      <c r="E260" s="4" t="s">
        <v>439</v>
      </c>
      <c r="F260" s="19" t="s">
        <v>267</v>
      </c>
      <c r="G260" s="5" t="s">
        <v>449</v>
      </c>
      <c r="H260" s="5" t="s">
        <v>456</v>
      </c>
      <c r="I260" s="14" t="s">
        <v>457</v>
      </c>
      <c r="J260" s="164"/>
    </row>
    <row r="261" spans="1:10" ht="15" thickBot="1" x14ac:dyDescent="0.3">
      <c r="A261" s="159"/>
      <c r="B261" s="162"/>
      <c r="C261" s="162"/>
      <c r="D261" s="71">
        <v>7</v>
      </c>
      <c r="E261" s="72" t="s">
        <v>440</v>
      </c>
      <c r="F261" s="73" t="s">
        <v>299</v>
      </c>
      <c r="G261" s="74" t="s">
        <v>458</v>
      </c>
      <c r="H261" s="74" t="s">
        <v>452</v>
      </c>
      <c r="I261" s="71" t="s">
        <v>457</v>
      </c>
      <c r="J261" s="165"/>
    </row>
    <row r="262" spans="1:10" ht="15" thickBot="1" x14ac:dyDescent="0.3">
      <c r="E262" s="1"/>
      <c r="G262" s="3"/>
      <c r="H262" s="3"/>
      <c r="J262" s="17"/>
    </row>
    <row r="263" spans="1:10" x14ac:dyDescent="0.25">
      <c r="A263" s="157" t="s">
        <v>685</v>
      </c>
      <c r="B263" s="160" t="s">
        <v>766</v>
      </c>
      <c r="C263" s="160" t="s">
        <v>427</v>
      </c>
      <c r="D263" s="68">
        <v>1</v>
      </c>
      <c r="E263" s="69" t="s">
        <v>648</v>
      </c>
      <c r="F263" s="68" t="s">
        <v>487</v>
      </c>
      <c r="G263" s="70" t="s">
        <v>444</v>
      </c>
      <c r="H263" s="70" t="s">
        <v>390</v>
      </c>
      <c r="I263" s="68" t="s">
        <v>393</v>
      </c>
      <c r="J263" s="163" t="s">
        <v>37</v>
      </c>
    </row>
    <row r="264" spans="1:10" x14ac:dyDescent="0.25">
      <c r="A264" s="158"/>
      <c r="B264" s="161"/>
      <c r="C264" s="161"/>
      <c r="D264" s="14">
        <v>2</v>
      </c>
      <c r="E264" s="4" t="s">
        <v>649</v>
      </c>
      <c r="F264" s="35" t="s">
        <v>460</v>
      </c>
      <c r="G264" s="5" t="s">
        <v>461</v>
      </c>
      <c r="H264" s="5" t="s">
        <v>446</v>
      </c>
      <c r="I264" s="14" t="s">
        <v>457</v>
      </c>
      <c r="J264" s="164"/>
    </row>
    <row r="265" spans="1:10" x14ac:dyDescent="0.25">
      <c r="A265" s="158"/>
      <c r="B265" s="161"/>
      <c r="C265" s="161"/>
      <c r="D265" s="14">
        <v>3</v>
      </c>
      <c r="E265" s="4" t="s">
        <v>433</v>
      </c>
      <c r="F265" s="14" t="s">
        <v>443</v>
      </c>
      <c r="G265" s="5" t="s">
        <v>392</v>
      </c>
      <c r="H265" s="5" t="s">
        <v>285</v>
      </c>
      <c r="I265" s="14" t="s">
        <v>393</v>
      </c>
      <c r="J265" s="164"/>
    </row>
    <row r="266" spans="1:10" x14ac:dyDescent="0.25">
      <c r="A266" s="158"/>
      <c r="B266" s="161"/>
      <c r="C266" s="161"/>
      <c r="D266" s="14">
        <v>4</v>
      </c>
      <c r="E266" s="4" t="s">
        <v>438</v>
      </c>
      <c r="F266" s="14">
        <v>5056</v>
      </c>
      <c r="G266" s="5" t="s">
        <v>447</v>
      </c>
      <c r="H266" s="5" t="s">
        <v>448</v>
      </c>
      <c r="I266" s="14" t="s">
        <v>393</v>
      </c>
      <c r="J266" s="164"/>
    </row>
    <row r="267" spans="1:10" x14ac:dyDescent="0.25">
      <c r="A267" s="158"/>
      <c r="B267" s="161"/>
      <c r="C267" s="161"/>
      <c r="D267" s="14">
        <v>5</v>
      </c>
      <c r="E267" s="4" t="s">
        <v>437</v>
      </c>
      <c r="F267" s="14">
        <v>0</v>
      </c>
      <c r="G267" s="5" t="s">
        <v>445</v>
      </c>
      <c r="H267" s="5" t="s">
        <v>448</v>
      </c>
      <c r="I267" s="14" t="s">
        <v>393</v>
      </c>
      <c r="J267" s="164"/>
    </row>
    <row r="268" spans="1:10" ht="28.8" x14ac:dyDescent="0.25">
      <c r="A268" s="158"/>
      <c r="B268" s="161"/>
      <c r="C268" s="161"/>
      <c r="D268" s="14">
        <v>6</v>
      </c>
      <c r="E268" s="4" t="s">
        <v>439</v>
      </c>
      <c r="F268" s="19" t="s">
        <v>267</v>
      </c>
      <c r="G268" s="5" t="s">
        <v>449</v>
      </c>
      <c r="H268" s="5" t="s">
        <v>450</v>
      </c>
      <c r="I268" s="14" t="s">
        <v>393</v>
      </c>
      <c r="J268" s="164"/>
    </row>
    <row r="269" spans="1:10" ht="43.8" thickBot="1" x14ac:dyDescent="0.3">
      <c r="A269" s="159"/>
      <c r="B269" s="162"/>
      <c r="C269" s="162"/>
      <c r="D269" s="71">
        <v>7</v>
      </c>
      <c r="E269" s="72" t="s">
        <v>440</v>
      </c>
      <c r="F269" s="73" t="s">
        <v>299</v>
      </c>
      <c r="G269" s="74" t="s">
        <v>458</v>
      </c>
      <c r="H269" s="74" t="s">
        <v>462</v>
      </c>
      <c r="I269" s="71" t="s">
        <v>393</v>
      </c>
      <c r="J269" s="165"/>
    </row>
    <row r="270" spans="1:10" ht="15" thickBot="1" x14ac:dyDescent="0.3">
      <c r="E270" s="1"/>
      <c r="G270" s="3"/>
      <c r="H270" s="3"/>
      <c r="J270" s="17"/>
    </row>
    <row r="271" spans="1:10" x14ac:dyDescent="0.25">
      <c r="A271" s="157" t="s">
        <v>686</v>
      </c>
      <c r="B271" s="160" t="s">
        <v>767</v>
      </c>
      <c r="C271" s="160" t="s">
        <v>427</v>
      </c>
      <c r="D271" s="68">
        <v>1</v>
      </c>
      <c r="E271" s="69" t="s">
        <v>648</v>
      </c>
      <c r="F271" s="68" t="s">
        <v>490</v>
      </c>
      <c r="G271" s="70" t="s">
        <v>444</v>
      </c>
      <c r="H271" s="70" t="s">
        <v>390</v>
      </c>
      <c r="I271" s="68" t="s">
        <v>393</v>
      </c>
      <c r="J271" s="163" t="s">
        <v>37</v>
      </c>
    </row>
    <row r="272" spans="1:10" x14ac:dyDescent="0.25">
      <c r="A272" s="158"/>
      <c r="B272" s="161"/>
      <c r="C272" s="161"/>
      <c r="D272" s="14">
        <v>2</v>
      </c>
      <c r="E272" s="4" t="s">
        <v>649</v>
      </c>
      <c r="F272" s="35">
        <v>46213</v>
      </c>
      <c r="G272" s="5" t="s">
        <v>385</v>
      </c>
      <c r="H272" s="5" t="s">
        <v>446</v>
      </c>
      <c r="I272" s="14" t="s">
        <v>393</v>
      </c>
      <c r="J272" s="164"/>
    </row>
    <row r="273" spans="1:10" x14ac:dyDescent="0.25">
      <c r="A273" s="158"/>
      <c r="B273" s="161"/>
      <c r="C273" s="161"/>
      <c r="D273" s="14">
        <v>3</v>
      </c>
      <c r="E273" s="4" t="s">
        <v>433</v>
      </c>
      <c r="F273" s="14" t="s">
        <v>443</v>
      </c>
      <c r="G273" s="5" t="s">
        <v>392</v>
      </c>
      <c r="H273" s="5" t="s">
        <v>285</v>
      </c>
      <c r="I273" s="14" t="s">
        <v>393</v>
      </c>
      <c r="J273" s="164"/>
    </row>
    <row r="274" spans="1:10" x14ac:dyDescent="0.25">
      <c r="A274" s="158"/>
      <c r="B274" s="161"/>
      <c r="C274" s="161"/>
      <c r="D274" s="14">
        <v>4</v>
      </c>
      <c r="E274" s="4" t="s">
        <v>438</v>
      </c>
      <c r="F274" s="14">
        <v>500</v>
      </c>
      <c r="G274" s="5" t="s">
        <v>447</v>
      </c>
      <c r="H274" s="5" t="s">
        <v>448</v>
      </c>
      <c r="I274" s="14" t="s">
        <v>393</v>
      </c>
      <c r="J274" s="164"/>
    </row>
    <row r="275" spans="1:10" ht="43.2" x14ac:dyDescent="0.25">
      <c r="A275" s="158"/>
      <c r="B275" s="161"/>
      <c r="C275" s="161"/>
      <c r="D275" s="14">
        <v>5</v>
      </c>
      <c r="E275" s="4" t="s">
        <v>437</v>
      </c>
      <c r="F275" s="14" t="s">
        <v>464</v>
      </c>
      <c r="G275" s="5" t="s">
        <v>465</v>
      </c>
      <c r="H275" s="5" t="s">
        <v>466</v>
      </c>
      <c r="I275" s="14" t="s">
        <v>393</v>
      </c>
      <c r="J275" s="164"/>
    </row>
    <row r="276" spans="1:10" ht="28.8" x14ac:dyDescent="0.25">
      <c r="A276" s="158"/>
      <c r="B276" s="161"/>
      <c r="C276" s="161"/>
      <c r="D276" s="14">
        <v>6</v>
      </c>
      <c r="E276" s="4" t="s">
        <v>439</v>
      </c>
      <c r="F276" s="19" t="s">
        <v>267</v>
      </c>
      <c r="G276" s="5" t="s">
        <v>449</v>
      </c>
      <c r="H276" s="5" t="s">
        <v>450</v>
      </c>
      <c r="I276" s="14" t="s">
        <v>393</v>
      </c>
      <c r="J276" s="164"/>
    </row>
    <row r="277" spans="1:10" ht="43.8" thickBot="1" x14ac:dyDescent="0.3">
      <c r="A277" s="159"/>
      <c r="B277" s="162"/>
      <c r="C277" s="162"/>
      <c r="D277" s="71">
        <v>7</v>
      </c>
      <c r="E277" s="72" t="s">
        <v>440</v>
      </c>
      <c r="F277" s="73" t="s">
        <v>299</v>
      </c>
      <c r="G277" s="74" t="s">
        <v>458</v>
      </c>
      <c r="H277" s="74" t="s">
        <v>462</v>
      </c>
      <c r="I277" s="71" t="s">
        <v>393</v>
      </c>
      <c r="J277" s="165"/>
    </row>
    <row r="278" spans="1:10" ht="15" thickBot="1" x14ac:dyDescent="0.3">
      <c r="E278" s="1"/>
      <c r="G278" s="3"/>
      <c r="H278" s="3"/>
      <c r="J278" s="17"/>
    </row>
    <row r="279" spans="1:10" x14ac:dyDescent="0.25">
      <c r="A279" s="157" t="s">
        <v>687</v>
      </c>
      <c r="B279" s="160" t="s">
        <v>768</v>
      </c>
      <c r="C279" s="160" t="s">
        <v>427</v>
      </c>
      <c r="D279" s="68">
        <v>1</v>
      </c>
      <c r="E279" s="69" t="s">
        <v>648</v>
      </c>
      <c r="F279" s="68" t="s">
        <v>490</v>
      </c>
      <c r="G279" s="70" t="s">
        <v>444</v>
      </c>
      <c r="H279" s="70" t="s">
        <v>390</v>
      </c>
      <c r="I279" s="68" t="s">
        <v>393</v>
      </c>
      <c r="J279" s="163" t="s">
        <v>182</v>
      </c>
    </row>
    <row r="280" spans="1:10" x14ac:dyDescent="0.25">
      <c r="A280" s="158"/>
      <c r="B280" s="161"/>
      <c r="C280" s="161"/>
      <c r="D280" s="14">
        <v>2</v>
      </c>
      <c r="E280" s="4" t="s">
        <v>649</v>
      </c>
      <c r="F280" s="35">
        <v>46213</v>
      </c>
      <c r="G280" s="5" t="s">
        <v>385</v>
      </c>
      <c r="H280" s="5" t="s">
        <v>446</v>
      </c>
      <c r="I280" s="14" t="s">
        <v>393</v>
      </c>
      <c r="J280" s="164"/>
    </row>
    <row r="281" spans="1:10" x14ac:dyDescent="0.25">
      <c r="A281" s="158"/>
      <c r="B281" s="161"/>
      <c r="C281" s="161"/>
      <c r="D281" s="14">
        <v>3</v>
      </c>
      <c r="E281" s="4" t="s">
        <v>433</v>
      </c>
      <c r="F281" s="14" t="s">
        <v>443</v>
      </c>
      <c r="G281" s="5" t="s">
        <v>392</v>
      </c>
      <c r="H281" s="5" t="s">
        <v>285</v>
      </c>
      <c r="I281" s="14" t="s">
        <v>393</v>
      </c>
      <c r="J281" s="164"/>
    </row>
    <row r="282" spans="1:10" x14ac:dyDescent="0.25">
      <c r="A282" s="158"/>
      <c r="B282" s="161"/>
      <c r="C282" s="161"/>
      <c r="D282" s="14">
        <v>4</v>
      </c>
      <c r="E282" s="4" t="s">
        <v>438</v>
      </c>
      <c r="F282" s="14">
        <v>500</v>
      </c>
      <c r="G282" s="5" t="s">
        <v>447</v>
      </c>
      <c r="H282" s="5" t="s">
        <v>448</v>
      </c>
      <c r="I282" s="14" t="s">
        <v>393</v>
      </c>
      <c r="J282" s="164"/>
    </row>
    <row r="283" spans="1:10" x14ac:dyDescent="0.25">
      <c r="A283" s="158"/>
      <c r="B283" s="161"/>
      <c r="C283" s="161"/>
      <c r="D283" s="14">
        <v>5</v>
      </c>
      <c r="E283" s="4" t="s">
        <v>437</v>
      </c>
      <c r="F283" s="14">
        <v>0</v>
      </c>
      <c r="G283" s="5" t="s">
        <v>445</v>
      </c>
      <c r="H283" s="5" t="s">
        <v>448</v>
      </c>
      <c r="I283" s="14" t="s">
        <v>393</v>
      </c>
      <c r="J283" s="164"/>
    </row>
    <row r="284" spans="1:10" ht="28.8" x14ac:dyDescent="0.25">
      <c r="A284" s="158"/>
      <c r="B284" s="161"/>
      <c r="C284" s="161"/>
      <c r="D284" s="14">
        <v>6</v>
      </c>
      <c r="E284" s="4" t="s">
        <v>468</v>
      </c>
      <c r="F284" s="19">
        <v>2000</v>
      </c>
      <c r="G284" s="5" t="s">
        <v>449</v>
      </c>
      <c r="H284" s="5" t="s">
        <v>469</v>
      </c>
      <c r="I284" s="14" t="s">
        <v>457</v>
      </c>
      <c r="J284" s="164"/>
    </row>
    <row r="285" spans="1:10" ht="15" thickBot="1" x14ac:dyDescent="0.3">
      <c r="A285" s="159"/>
      <c r="B285" s="162"/>
      <c r="C285" s="162"/>
      <c r="D285" s="71">
        <v>7</v>
      </c>
      <c r="E285" s="72" t="s">
        <v>440</v>
      </c>
      <c r="F285" s="73" t="s">
        <v>299</v>
      </c>
      <c r="G285" s="74" t="s">
        <v>470</v>
      </c>
      <c r="H285" s="74" t="s">
        <v>452</v>
      </c>
      <c r="I285" s="71" t="s">
        <v>457</v>
      </c>
      <c r="J285" s="165"/>
    </row>
    <row r="286" spans="1:10" ht="15" thickBot="1" x14ac:dyDescent="0.3">
      <c r="E286" s="1"/>
      <c r="G286" s="3"/>
      <c r="H286" s="3"/>
      <c r="J286" s="17"/>
    </row>
    <row r="287" spans="1:10" x14ac:dyDescent="0.25">
      <c r="A287" s="157" t="s">
        <v>688</v>
      </c>
      <c r="B287" s="160" t="s">
        <v>769</v>
      </c>
      <c r="C287" s="160" t="s">
        <v>427</v>
      </c>
      <c r="D287" s="68">
        <v>1</v>
      </c>
      <c r="E287" s="69" t="s">
        <v>648</v>
      </c>
      <c r="F287" s="68" t="s">
        <v>489</v>
      </c>
      <c r="G287" s="70" t="s">
        <v>444</v>
      </c>
      <c r="H287" s="70" t="s">
        <v>390</v>
      </c>
      <c r="I287" s="68" t="s">
        <v>393</v>
      </c>
      <c r="J287" s="163" t="s">
        <v>37</v>
      </c>
    </row>
    <row r="288" spans="1:10" x14ac:dyDescent="0.25">
      <c r="A288" s="158"/>
      <c r="B288" s="161"/>
      <c r="C288" s="161"/>
      <c r="D288" s="14">
        <v>2</v>
      </c>
      <c r="E288" s="4" t="s">
        <v>649</v>
      </c>
      <c r="F288" s="35">
        <v>46213</v>
      </c>
      <c r="G288" s="5" t="s">
        <v>385</v>
      </c>
      <c r="H288" s="5" t="s">
        <v>446</v>
      </c>
      <c r="I288" s="14" t="s">
        <v>393</v>
      </c>
      <c r="J288" s="164"/>
    </row>
    <row r="289" spans="1:10" x14ac:dyDescent="0.25">
      <c r="A289" s="158"/>
      <c r="B289" s="161"/>
      <c r="C289" s="161"/>
      <c r="D289" s="14">
        <v>3</v>
      </c>
      <c r="E289" s="4" t="s">
        <v>433</v>
      </c>
      <c r="F289" s="14" t="s">
        <v>472</v>
      </c>
      <c r="G289" s="5" t="s">
        <v>392</v>
      </c>
      <c r="H289" s="5" t="s">
        <v>285</v>
      </c>
      <c r="I289" s="14" t="s">
        <v>393</v>
      </c>
      <c r="J289" s="164"/>
    </row>
    <row r="290" spans="1:10" x14ac:dyDescent="0.25">
      <c r="A290" s="158"/>
      <c r="B290" s="161"/>
      <c r="C290" s="161"/>
      <c r="D290" s="14">
        <v>4</v>
      </c>
      <c r="E290" s="4" t="s">
        <v>438</v>
      </c>
      <c r="F290" s="14">
        <v>6000</v>
      </c>
      <c r="G290" s="5" t="s">
        <v>447</v>
      </c>
      <c r="H290" s="5" t="s">
        <v>448</v>
      </c>
      <c r="I290" s="14" t="s">
        <v>393</v>
      </c>
      <c r="J290" s="164"/>
    </row>
    <row r="291" spans="1:10" x14ac:dyDescent="0.25">
      <c r="A291" s="158"/>
      <c r="B291" s="161"/>
      <c r="C291" s="161"/>
      <c r="D291" s="14">
        <v>5</v>
      </c>
      <c r="E291" s="4" t="s">
        <v>437</v>
      </c>
      <c r="F291" s="14">
        <v>0</v>
      </c>
      <c r="G291" s="5" t="s">
        <v>445</v>
      </c>
      <c r="H291" s="5" t="s">
        <v>448</v>
      </c>
      <c r="I291" s="14" t="s">
        <v>393</v>
      </c>
      <c r="J291" s="164"/>
    </row>
    <row r="292" spans="1:10" x14ac:dyDescent="0.25">
      <c r="A292" s="158"/>
      <c r="B292" s="161"/>
      <c r="C292" s="161"/>
      <c r="D292" s="14">
        <v>6</v>
      </c>
      <c r="E292" s="4" t="s">
        <v>468</v>
      </c>
      <c r="F292" s="19">
        <v>2000</v>
      </c>
      <c r="G292" s="5" t="s">
        <v>449</v>
      </c>
      <c r="H292" s="5" t="s">
        <v>473</v>
      </c>
      <c r="I292" s="14" t="s">
        <v>457</v>
      </c>
      <c r="J292" s="164"/>
    </row>
    <row r="293" spans="1:10" ht="29.4" thickBot="1" x14ac:dyDescent="0.3">
      <c r="A293" s="159"/>
      <c r="B293" s="162"/>
      <c r="C293" s="162"/>
      <c r="D293" s="71">
        <v>7</v>
      </c>
      <c r="E293" s="72" t="s">
        <v>440</v>
      </c>
      <c r="F293" s="73" t="s">
        <v>299</v>
      </c>
      <c r="G293" s="74" t="s">
        <v>470</v>
      </c>
      <c r="H293" s="74" t="s">
        <v>474</v>
      </c>
      <c r="I293" s="71" t="s">
        <v>393</v>
      </c>
      <c r="J293" s="165"/>
    </row>
    <row r="294" spans="1:10" ht="15" thickBot="1" x14ac:dyDescent="0.3">
      <c r="E294" s="1"/>
      <c r="G294" s="3"/>
      <c r="H294" s="3"/>
      <c r="J294" s="17"/>
    </row>
    <row r="295" spans="1:10" x14ac:dyDescent="0.25">
      <c r="A295" s="157" t="s">
        <v>689</v>
      </c>
      <c r="B295" s="160" t="s">
        <v>770</v>
      </c>
      <c r="C295" s="160" t="s">
        <v>427</v>
      </c>
      <c r="D295" s="68">
        <v>1</v>
      </c>
      <c r="E295" s="69" t="s">
        <v>648</v>
      </c>
      <c r="F295" s="68" t="s">
        <v>488</v>
      </c>
      <c r="G295" s="70" t="s">
        <v>444</v>
      </c>
      <c r="H295" s="70" t="s">
        <v>390</v>
      </c>
      <c r="I295" s="68" t="s">
        <v>393</v>
      </c>
      <c r="J295" s="163" t="s">
        <v>37</v>
      </c>
    </row>
    <row r="296" spans="1:10" x14ac:dyDescent="0.25">
      <c r="A296" s="158"/>
      <c r="B296" s="161"/>
      <c r="C296" s="161"/>
      <c r="D296" s="14">
        <v>2</v>
      </c>
      <c r="E296" s="4" t="s">
        <v>649</v>
      </c>
      <c r="F296" s="35">
        <v>46213</v>
      </c>
      <c r="G296" s="5" t="s">
        <v>385</v>
      </c>
      <c r="H296" s="5" t="s">
        <v>446</v>
      </c>
      <c r="I296" s="14" t="s">
        <v>393</v>
      </c>
      <c r="J296" s="164"/>
    </row>
    <row r="297" spans="1:10" x14ac:dyDescent="0.25">
      <c r="A297" s="158"/>
      <c r="B297" s="161"/>
      <c r="C297" s="161"/>
      <c r="D297" s="14">
        <v>3</v>
      </c>
      <c r="E297" s="4" t="s">
        <v>433</v>
      </c>
      <c r="F297" s="14" t="s">
        <v>443</v>
      </c>
      <c r="G297" s="5" t="s">
        <v>392</v>
      </c>
      <c r="H297" s="5" t="s">
        <v>285</v>
      </c>
      <c r="I297" s="14" t="s">
        <v>393</v>
      </c>
      <c r="J297" s="164"/>
    </row>
    <row r="298" spans="1:10" x14ac:dyDescent="0.25">
      <c r="A298" s="158"/>
      <c r="B298" s="161"/>
      <c r="C298" s="161"/>
      <c r="D298" s="14">
        <v>4</v>
      </c>
      <c r="E298" s="4" t="s">
        <v>438</v>
      </c>
      <c r="F298" s="14">
        <v>4124</v>
      </c>
      <c r="G298" s="5" t="s">
        <v>447</v>
      </c>
      <c r="H298" s="5" t="s">
        <v>448</v>
      </c>
      <c r="I298" s="14" t="s">
        <v>393</v>
      </c>
      <c r="J298" s="164"/>
    </row>
    <row r="299" spans="1:10" x14ac:dyDescent="0.25">
      <c r="A299" s="158"/>
      <c r="B299" s="161"/>
      <c r="C299" s="161"/>
      <c r="D299" s="14">
        <v>5</v>
      </c>
      <c r="E299" s="4" t="s">
        <v>437</v>
      </c>
      <c r="F299" s="14">
        <v>10</v>
      </c>
      <c r="G299" s="5" t="s">
        <v>445</v>
      </c>
      <c r="H299" s="5" t="s">
        <v>448</v>
      </c>
      <c r="I299" s="14" t="s">
        <v>393</v>
      </c>
      <c r="J299" s="164"/>
    </row>
    <row r="300" spans="1:10" ht="28.8" x14ac:dyDescent="0.25">
      <c r="A300" s="158"/>
      <c r="B300" s="161"/>
      <c r="C300" s="161"/>
      <c r="D300" s="14">
        <v>6</v>
      </c>
      <c r="E300" s="4" t="s">
        <v>439</v>
      </c>
      <c r="F300" s="19" t="s">
        <v>267</v>
      </c>
      <c r="G300" s="5" t="s">
        <v>449</v>
      </c>
      <c r="H300" s="5" t="s">
        <v>450</v>
      </c>
      <c r="I300" s="14" t="s">
        <v>393</v>
      </c>
      <c r="J300" s="164"/>
    </row>
    <row r="301" spans="1:10" ht="15" thickBot="1" x14ac:dyDescent="0.3">
      <c r="A301" s="159"/>
      <c r="B301" s="162"/>
      <c r="C301" s="162"/>
      <c r="D301" s="71">
        <v>7</v>
      </c>
      <c r="E301" s="72" t="s">
        <v>440</v>
      </c>
      <c r="F301" s="73" t="s">
        <v>299</v>
      </c>
      <c r="G301" s="74" t="s">
        <v>451</v>
      </c>
      <c r="H301" s="74" t="s">
        <v>452</v>
      </c>
      <c r="I301" s="71" t="s">
        <v>393</v>
      </c>
      <c r="J301" s="165"/>
    </row>
    <row r="302" spans="1:10" ht="15" thickBot="1" x14ac:dyDescent="0.3">
      <c r="E302" s="1"/>
      <c r="G302" s="3"/>
      <c r="H302" s="3"/>
      <c r="J302" s="17"/>
    </row>
    <row r="303" spans="1:10" x14ac:dyDescent="0.25">
      <c r="A303" s="145" t="s">
        <v>690</v>
      </c>
      <c r="B303" s="148" t="s">
        <v>771</v>
      </c>
      <c r="C303" s="148" t="s">
        <v>427</v>
      </c>
      <c r="D303" s="79">
        <v>1</v>
      </c>
      <c r="E303" s="80" t="s">
        <v>648</v>
      </c>
      <c r="F303" s="68" t="s">
        <v>487</v>
      </c>
      <c r="G303" s="81" t="s">
        <v>444</v>
      </c>
      <c r="H303" s="81" t="s">
        <v>390</v>
      </c>
      <c r="I303" s="79" t="s">
        <v>393</v>
      </c>
      <c r="J303" s="151" t="s">
        <v>37</v>
      </c>
    </row>
    <row r="304" spans="1:10" x14ac:dyDescent="0.25">
      <c r="A304" s="146"/>
      <c r="B304" s="149"/>
      <c r="C304" s="149"/>
      <c r="D304" s="39">
        <v>2</v>
      </c>
      <c r="E304" s="40" t="s">
        <v>649</v>
      </c>
      <c r="F304" s="43">
        <v>46213</v>
      </c>
      <c r="G304" s="41" t="s">
        <v>385</v>
      </c>
      <c r="H304" s="41" t="s">
        <v>446</v>
      </c>
      <c r="I304" s="39" t="s">
        <v>393</v>
      </c>
      <c r="J304" s="152"/>
    </row>
    <row r="305" spans="1:10" x14ac:dyDescent="0.25">
      <c r="A305" s="146"/>
      <c r="B305" s="149"/>
      <c r="C305" s="149"/>
      <c r="D305" s="39">
        <v>3</v>
      </c>
      <c r="E305" s="40" t="s">
        <v>433</v>
      </c>
      <c r="F305" s="39" t="s">
        <v>443</v>
      </c>
      <c r="G305" s="41" t="s">
        <v>392</v>
      </c>
      <c r="H305" s="41" t="s">
        <v>285</v>
      </c>
      <c r="I305" s="39" t="s">
        <v>393</v>
      </c>
      <c r="J305" s="152"/>
    </row>
    <row r="306" spans="1:10" x14ac:dyDescent="0.25">
      <c r="A306" s="146"/>
      <c r="B306" s="149"/>
      <c r="C306" s="149"/>
      <c r="D306" s="39">
        <v>4</v>
      </c>
      <c r="E306" s="40" t="s">
        <v>438</v>
      </c>
      <c r="F306" s="39">
        <v>500</v>
      </c>
      <c r="G306" s="41" t="s">
        <v>447</v>
      </c>
      <c r="H306" s="41" t="s">
        <v>448</v>
      </c>
      <c r="I306" s="39" t="s">
        <v>393</v>
      </c>
      <c r="J306" s="152"/>
    </row>
    <row r="307" spans="1:10" x14ac:dyDescent="0.25">
      <c r="A307" s="146"/>
      <c r="B307" s="149"/>
      <c r="C307" s="149"/>
      <c r="D307" s="39">
        <v>5</v>
      </c>
      <c r="E307" s="40" t="s">
        <v>477</v>
      </c>
      <c r="F307" s="39">
        <v>680</v>
      </c>
      <c r="G307" s="41" t="s">
        <v>447</v>
      </c>
      <c r="H307" s="41" t="s">
        <v>448</v>
      </c>
      <c r="I307" s="39" t="s">
        <v>393</v>
      </c>
      <c r="J307" s="152"/>
    </row>
    <row r="308" spans="1:10" x14ac:dyDescent="0.25">
      <c r="A308" s="146"/>
      <c r="B308" s="149"/>
      <c r="C308" s="149"/>
      <c r="D308" s="39">
        <v>6</v>
      </c>
      <c r="E308" s="40" t="s">
        <v>437</v>
      </c>
      <c r="F308" s="39">
        <v>20</v>
      </c>
      <c r="G308" s="41" t="s">
        <v>445</v>
      </c>
      <c r="H308" s="41" t="s">
        <v>448</v>
      </c>
      <c r="I308" s="39" t="s">
        <v>393</v>
      </c>
      <c r="J308" s="152"/>
    </row>
    <row r="309" spans="1:10" ht="28.8" x14ac:dyDescent="0.25">
      <c r="A309" s="146"/>
      <c r="B309" s="149"/>
      <c r="C309" s="149"/>
      <c r="D309" s="39">
        <v>7</v>
      </c>
      <c r="E309" s="40" t="s">
        <v>439</v>
      </c>
      <c r="F309" s="39" t="s">
        <v>267</v>
      </c>
      <c r="G309" s="41" t="s">
        <v>449</v>
      </c>
      <c r="H309" s="41" t="s">
        <v>450</v>
      </c>
      <c r="I309" s="39" t="s">
        <v>393</v>
      </c>
      <c r="J309" s="152"/>
    </row>
    <row r="310" spans="1:10" ht="15" thickBot="1" x14ac:dyDescent="0.3">
      <c r="A310" s="147"/>
      <c r="B310" s="150"/>
      <c r="C310" s="150"/>
      <c r="D310" s="39">
        <v>8</v>
      </c>
      <c r="E310" s="83" t="s">
        <v>440</v>
      </c>
      <c r="F310" s="82" t="s">
        <v>299</v>
      </c>
      <c r="G310" s="84" t="s">
        <v>451</v>
      </c>
      <c r="H310" s="84" t="s">
        <v>452</v>
      </c>
      <c r="I310" s="82" t="s">
        <v>393</v>
      </c>
      <c r="J310" s="153"/>
    </row>
    <row r="311" spans="1:10" ht="15" thickBot="1" x14ac:dyDescent="0.3">
      <c r="E311" s="1"/>
      <c r="G311" s="3"/>
      <c r="H311" s="3"/>
      <c r="J311" s="17"/>
    </row>
    <row r="312" spans="1:10" x14ac:dyDescent="0.25">
      <c r="A312" s="145" t="s">
        <v>691</v>
      </c>
      <c r="B312" s="148" t="s">
        <v>772</v>
      </c>
      <c r="C312" s="148" t="s">
        <v>427</v>
      </c>
      <c r="D312" s="79">
        <v>1</v>
      </c>
      <c r="E312" s="80" t="s">
        <v>648</v>
      </c>
      <c r="F312" s="68" t="s">
        <v>486</v>
      </c>
      <c r="G312" s="81" t="s">
        <v>444</v>
      </c>
      <c r="H312" s="81" t="s">
        <v>390</v>
      </c>
      <c r="I312" s="79" t="s">
        <v>393</v>
      </c>
      <c r="J312" s="151" t="s">
        <v>37</v>
      </c>
    </row>
    <row r="313" spans="1:10" x14ac:dyDescent="0.25">
      <c r="A313" s="146"/>
      <c r="B313" s="149"/>
      <c r="C313" s="149"/>
      <c r="D313" s="39">
        <v>2</v>
      </c>
      <c r="E313" s="40" t="s">
        <v>649</v>
      </c>
      <c r="F313" s="43">
        <v>46213</v>
      </c>
      <c r="G313" s="41" t="s">
        <v>385</v>
      </c>
      <c r="H313" s="41" t="s">
        <v>446</v>
      </c>
      <c r="I313" s="39" t="s">
        <v>393</v>
      </c>
      <c r="J313" s="152"/>
    </row>
    <row r="314" spans="1:10" x14ac:dyDescent="0.25">
      <c r="A314" s="146"/>
      <c r="B314" s="149"/>
      <c r="C314" s="149"/>
      <c r="D314" s="39">
        <v>3</v>
      </c>
      <c r="E314" s="40" t="s">
        <v>433</v>
      </c>
      <c r="F314" s="39" t="s">
        <v>443</v>
      </c>
      <c r="G314" s="41" t="s">
        <v>392</v>
      </c>
      <c r="H314" s="41" t="s">
        <v>285</v>
      </c>
      <c r="I314" s="39" t="s">
        <v>393</v>
      </c>
      <c r="J314" s="152"/>
    </row>
    <row r="315" spans="1:10" x14ac:dyDescent="0.25">
      <c r="A315" s="146"/>
      <c r="B315" s="149"/>
      <c r="C315" s="149"/>
      <c r="D315" s="39">
        <v>4</v>
      </c>
      <c r="E315" s="40" t="s">
        <v>437</v>
      </c>
      <c r="F315" s="39">
        <v>0</v>
      </c>
      <c r="G315" s="41" t="s">
        <v>445</v>
      </c>
      <c r="H315" s="41" t="s">
        <v>448</v>
      </c>
      <c r="I315" s="39" t="s">
        <v>393</v>
      </c>
      <c r="J315" s="152"/>
    </row>
    <row r="316" spans="1:10" ht="28.8" x14ac:dyDescent="0.25">
      <c r="A316" s="146"/>
      <c r="B316" s="149"/>
      <c r="C316" s="149"/>
      <c r="D316" s="39">
        <v>5</v>
      </c>
      <c r="E316" s="40" t="s">
        <v>439</v>
      </c>
      <c r="F316" s="39" t="s">
        <v>267</v>
      </c>
      <c r="G316" s="41" t="s">
        <v>449</v>
      </c>
      <c r="H316" s="41" t="s">
        <v>450</v>
      </c>
      <c r="I316" s="39" t="s">
        <v>393</v>
      </c>
      <c r="J316" s="152"/>
    </row>
    <row r="317" spans="1:10" ht="15" thickBot="1" x14ac:dyDescent="0.3">
      <c r="A317" s="147"/>
      <c r="B317" s="150"/>
      <c r="C317" s="150"/>
      <c r="D317" s="39">
        <v>6</v>
      </c>
      <c r="E317" s="83" t="s">
        <v>440</v>
      </c>
      <c r="F317" s="82" t="s">
        <v>299</v>
      </c>
      <c r="G317" s="84" t="s">
        <v>458</v>
      </c>
      <c r="H317" s="84" t="s">
        <v>479</v>
      </c>
      <c r="I317" s="82" t="s">
        <v>393</v>
      </c>
      <c r="J317" s="153"/>
    </row>
  </sheetData>
  <mergeCells count="129">
    <mergeCell ref="A204:A212"/>
    <mergeCell ref="B204:B212"/>
    <mergeCell ref="C204:C212"/>
    <mergeCell ref="J204:J212"/>
    <mergeCell ref="A182:J182"/>
    <mergeCell ref="J184:J192"/>
    <mergeCell ref="A184:A192"/>
    <mergeCell ref="B184:B192"/>
    <mergeCell ref="C184:C192"/>
    <mergeCell ref="A194:A202"/>
    <mergeCell ref="B194:B202"/>
    <mergeCell ref="C194:C202"/>
    <mergeCell ref="J194:J202"/>
    <mergeCell ref="A108:A119"/>
    <mergeCell ref="B108:B119"/>
    <mergeCell ref="C108:C119"/>
    <mergeCell ref="J108:J119"/>
    <mergeCell ref="A163:A167"/>
    <mergeCell ref="B163:B167"/>
    <mergeCell ref="C163:C167"/>
    <mergeCell ref="J163:J167"/>
    <mergeCell ref="A121:A132"/>
    <mergeCell ref="B121:B132"/>
    <mergeCell ref="C121:C132"/>
    <mergeCell ref="J121:J132"/>
    <mergeCell ref="A134:A145"/>
    <mergeCell ref="B134:B145"/>
    <mergeCell ref="C134:C145"/>
    <mergeCell ref="J134:J145"/>
    <mergeCell ref="A157:A161"/>
    <mergeCell ref="B157:B161"/>
    <mergeCell ref="C157:C161"/>
    <mergeCell ref="J157:J161"/>
    <mergeCell ref="A149:J149"/>
    <mergeCell ref="A69:A80"/>
    <mergeCell ref="B69:B80"/>
    <mergeCell ref="C69:C80"/>
    <mergeCell ref="J69:J80"/>
    <mergeCell ref="A82:A93"/>
    <mergeCell ref="B82:B93"/>
    <mergeCell ref="C82:C93"/>
    <mergeCell ref="J82:J93"/>
    <mergeCell ref="A95:A106"/>
    <mergeCell ref="B95:B106"/>
    <mergeCell ref="C95:C106"/>
    <mergeCell ref="J95:J106"/>
    <mergeCell ref="A30:A41"/>
    <mergeCell ref="B30:B41"/>
    <mergeCell ref="C30:C41"/>
    <mergeCell ref="J30:J41"/>
    <mergeCell ref="A43:A59"/>
    <mergeCell ref="B43:B59"/>
    <mergeCell ref="C43:C59"/>
    <mergeCell ref="J43:J59"/>
    <mergeCell ref="A61:A67"/>
    <mergeCell ref="B61:B67"/>
    <mergeCell ref="C61:C67"/>
    <mergeCell ref="J61:J67"/>
    <mergeCell ref="A1:J1"/>
    <mergeCell ref="A3:J3"/>
    <mergeCell ref="J4:J15"/>
    <mergeCell ref="C4:C15"/>
    <mergeCell ref="A4:A15"/>
    <mergeCell ref="B4:B15"/>
    <mergeCell ref="A17:A28"/>
    <mergeCell ref="B17:B28"/>
    <mergeCell ref="C17:C28"/>
    <mergeCell ref="J17:J28"/>
    <mergeCell ref="A234:A242"/>
    <mergeCell ref="B234:B242"/>
    <mergeCell ref="C234:C242"/>
    <mergeCell ref="J234:J242"/>
    <mergeCell ref="A151:A155"/>
    <mergeCell ref="B151:B155"/>
    <mergeCell ref="C151:C155"/>
    <mergeCell ref="J151:J155"/>
    <mergeCell ref="A214:A222"/>
    <mergeCell ref="B214:B222"/>
    <mergeCell ref="C214:C222"/>
    <mergeCell ref="J214:J222"/>
    <mergeCell ref="A224:A232"/>
    <mergeCell ref="B224:B232"/>
    <mergeCell ref="C224:C232"/>
    <mergeCell ref="J224:J232"/>
    <mergeCell ref="A169:A174"/>
    <mergeCell ref="B169:B174"/>
    <mergeCell ref="C169:C174"/>
    <mergeCell ref="J169:J174"/>
    <mergeCell ref="A176:A180"/>
    <mergeCell ref="B176:B180"/>
    <mergeCell ref="C176:C180"/>
    <mergeCell ref="J176:J180"/>
    <mergeCell ref="J263:J269"/>
    <mergeCell ref="A271:A277"/>
    <mergeCell ref="B271:B277"/>
    <mergeCell ref="C271:C277"/>
    <mergeCell ref="J271:J277"/>
    <mergeCell ref="A246:A252"/>
    <mergeCell ref="B246:B252"/>
    <mergeCell ref="C246:C252"/>
    <mergeCell ref="J246:J252"/>
    <mergeCell ref="A254:A261"/>
    <mergeCell ref="B254:B261"/>
    <mergeCell ref="C254:C261"/>
    <mergeCell ref="J254:J261"/>
    <mergeCell ref="A312:A317"/>
    <mergeCell ref="B312:B317"/>
    <mergeCell ref="C312:C317"/>
    <mergeCell ref="J312:J317"/>
    <mergeCell ref="A244:J244"/>
    <mergeCell ref="A295:A301"/>
    <mergeCell ref="B295:B301"/>
    <mergeCell ref="C295:C301"/>
    <mergeCell ref="J295:J301"/>
    <mergeCell ref="A303:A310"/>
    <mergeCell ref="B303:B310"/>
    <mergeCell ref="C303:C310"/>
    <mergeCell ref="J303:J310"/>
    <mergeCell ref="A279:A285"/>
    <mergeCell ref="B279:B285"/>
    <mergeCell ref="C279:C285"/>
    <mergeCell ref="J279:J285"/>
    <mergeCell ref="A287:A293"/>
    <mergeCell ref="B287:B293"/>
    <mergeCell ref="C287:C293"/>
    <mergeCell ref="J287:J293"/>
    <mergeCell ref="A263:A269"/>
    <mergeCell ref="B263:B269"/>
    <mergeCell ref="C263:C269"/>
  </mergeCells>
  <conditionalFormatting sqref="J1:J2 J149 CF157">
    <cfRule type="containsText" dxfId="23" priority="13" operator="containsText" text="Fail">
      <formula>NOT(ISERROR(SEARCH("Fail",J1)))</formula>
    </cfRule>
    <cfRule type="containsText" dxfId="22" priority="14" operator="containsText" text="Pass">
      <formula>NOT(ISERROR(SEARCH("Pass",J1)))</formula>
    </cfRule>
  </conditionalFormatting>
  <conditionalFormatting sqref="J147">
    <cfRule type="containsText" dxfId="21" priority="9" operator="containsText" text="Fail">
      <formula>NOT(ISERROR(SEARCH("Fail",J147)))</formula>
    </cfRule>
    <cfRule type="containsText" dxfId="20" priority="10" operator="containsText" text="Pass">
      <formula>NOT(ISERROR(SEARCH("Pass",J147)))</formula>
    </cfRule>
  </conditionalFormatting>
  <conditionalFormatting sqref="J181:J184 J243:J245 J1:J2 J4 J16:J17 J29:J30 J42:J43 J60:J61 J68:J69 J81 J94:J95 J107:J108 J120:J121 J133:J134 J146 J148:J149 J157 CF157 J162:J163 J168:J169 J175:J176 J193:J194 J203:J204 J213:J214 J223:J224 J233:J234 J318:J1048576">
    <cfRule type="cellIs" dxfId="19" priority="11" operator="equal">
      <formula>"Fail"</formula>
    </cfRule>
    <cfRule type="cellIs" dxfId="18" priority="12" operator="equal">
      <formula>"Pass"</formula>
    </cfRule>
  </conditionalFormatting>
  <conditionalFormatting sqref="J182">
    <cfRule type="containsText" dxfId="17" priority="5" operator="containsText" text="Fail">
      <formula>NOT(ISERROR(SEARCH("Fail",J182)))</formula>
    </cfRule>
    <cfRule type="containsText" dxfId="16" priority="6" operator="containsText" text="Pass">
      <formula>NOT(ISERROR(SEARCH("Pass",J182)))</formula>
    </cfRule>
  </conditionalFormatting>
  <conditionalFormatting sqref="J244">
    <cfRule type="containsText" dxfId="15" priority="1" operator="containsText" text="Fail">
      <formula>NOT(ISERROR(SEARCH("Fail",J244)))</formula>
    </cfRule>
    <cfRule type="containsText" dxfId="14" priority="2" operator="containsText" text="Pass">
      <formula>NOT(ISERROR(SEARCH("Pass",J244)))</formula>
    </cfRule>
  </conditionalFormatting>
  <conditionalFormatting sqref="J246 J253:J254 J262:J263 J270:J271 J278:J279 J286:J287 J294:J295 J302 J311">
    <cfRule type="containsText" dxfId="13" priority="3" operator="containsText" text="Fail">
      <formula>NOT(ISERROR(SEARCH("Fail",J246)))</formula>
    </cfRule>
    <cfRule type="containsText" dxfId="12" priority="4" operator="containsText" text="Pass">
      <formula>NOT(ISERROR(SEARCH("Pass",J246)))</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60312B6-286B-481D-AF08-8AD9FE07FD5C}">
          <x14:formula1>
            <xm:f>Introduction!$AP$17:$AP$21</xm:f>
          </x14:formula1>
          <xm:sqref>F8 F21 F34 F47 F65 F73 F99 F112 F125 F138 F158 F164 X168 F170 F177 F152</xm:sqref>
        </x14:dataValidation>
        <x14:dataValidation type="list" allowBlank="1" showInputMessage="1" showErrorMessage="1" xr:uid="{FBEB15DD-27CD-4165-898E-2BB376E86910}">
          <x14:formula1>
            <xm:f>Introduction!$AM$17:$AM$26</xm:f>
          </x14:formula1>
          <xm:sqref>F10 F23 F36 F49 F54 F75 F101 F114 F127 F140</xm:sqref>
        </x14:dataValidation>
        <x14:dataValidation type="list" allowBlank="1" showInputMessage="1" showErrorMessage="1" xr:uid="{502E4314-F46D-464F-8413-64AC63C8179D}">
          <x14:formula1>
            <xm:f>Introduction!$AW$15:$AW$19</xm:f>
          </x14:formula1>
          <xm:sqref>F4 F17 F30 F43 F61 F69 F95 F108 F121 F134 F184 F194 F204 F214 F224 F234 F246 F254 F263 F271 F279 F287 F295 F312 F303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824D1-4A28-413C-832B-AF717D87BEBD}">
  <sheetPr codeName="Sheet5"/>
  <dimension ref="A1:AT120"/>
  <sheetViews>
    <sheetView zoomScale="69" zoomScaleNormal="94" workbookViewId="0">
      <pane xSplit="1" ySplit="2" topLeftCell="H126" activePane="bottomRight" state="frozen"/>
      <selection pane="topRight" activeCell="B1" sqref="B1"/>
      <selection pane="bottomLeft" activeCell="A3" sqref="A3"/>
      <selection pane="bottomRight" activeCell="M18" sqref="M18"/>
    </sheetView>
  </sheetViews>
  <sheetFormatPr defaultRowHeight="14.4" x14ac:dyDescent="0.25"/>
  <cols>
    <col min="1" max="1" width="10.77734375" style="17" customWidth="1"/>
    <col min="2" max="2" width="24.21875" style="26" customWidth="1"/>
    <col min="3" max="3" width="23.6640625" style="26" customWidth="1"/>
    <col min="4" max="4" width="12.109375" style="17" customWidth="1"/>
    <col min="5" max="5" width="40.44140625" style="119" customWidth="1"/>
    <col min="6" max="6" width="40.88671875" style="17" bestFit="1" customWidth="1"/>
    <col min="7" max="7" width="38.33203125" style="119" customWidth="1"/>
    <col min="8" max="8" width="32.21875" style="119" bestFit="1" customWidth="1"/>
    <col min="9" max="9" width="11" style="17" customWidth="1"/>
    <col min="10" max="10" width="17.44140625" style="52" customWidth="1"/>
    <col min="11" max="16384" width="8.88671875" style="90"/>
  </cols>
  <sheetData>
    <row r="1" spans="1:17" ht="15" thickBot="1" x14ac:dyDescent="0.3">
      <c r="A1" s="178" t="s">
        <v>666</v>
      </c>
      <c r="B1" s="179"/>
      <c r="C1" s="179"/>
      <c r="D1" s="179"/>
      <c r="E1" s="179"/>
      <c r="F1" s="179"/>
      <c r="G1" s="286"/>
      <c r="H1" s="286"/>
      <c r="I1" s="179"/>
      <c r="J1" s="180"/>
      <c r="N1" s="64" t="s">
        <v>37</v>
      </c>
      <c r="O1" s="66">
        <f>COUNTIF(J:J,"Pass")</f>
        <v>16</v>
      </c>
      <c r="P1" s="65" t="s">
        <v>182</v>
      </c>
      <c r="Q1" s="66">
        <f>COUNTIF(J:J,"Fail")</f>
        <v>3</v>
      </c>
    </row>
    <row r="2" spans="1:17" ht="15" thickBot="1" x14ac:dyDescent="0.3">
      <c r="A2" s="112" t="s">
        <v>24</v>
      </c>
      <c r="B2" s="113" t="s">
        <v>25</v>
      </c>
      <c r="C2" s="113" t="s">
        <v>18</v>
      </c>
      <c r="D2" s="114" t="s">
        <v>26</v>
      </c>
      <c r="E2" s="122" t="s">
        <v>27</v>
      </c>
      <c r="F2" s="114" t="s">
        <v>28</v>
      </c>
      <c r="G2" s="120" t="s">
        <v>29</v>
      </c>
      <c r="H2" s="120" t="s">
        <v>30</v>
      </c>
      <c r="I2" s="114" t="s">
        <v>31</v>
      </c>
      <c r="J2" s="115" t="s">
        <v>32</v>
      </c>
    </row>
    <row r="3" spans="1:17" ht="15.6" customHeight="1" thickBot="1" x14ac:dyDescent="0.3">
      <c r="A3" s="154" t="s">
        <v>667</v>
      </c>
      <c r="B3" s="155"/>
      <c r="C3" s="155"/>
      <c r="D3" s="155"/>
      <c r="E3" s="155"/>
      <c r="F3" s="155"/>
      <c r="G3" s="155"/>
      <c r="H3" s="155"/>
      <c r="I3" s="155"/>
      <c r="J3" s="156"/>
    </row>
    <row r="4" spans="1:17" x14ac:dyDescent="0.25">
      <c r="A4" s="184" t="s">
        <v>692</v>
      </c>
      <c r="B4" s="181" t="s">
        <v>735</v>
      </c>
      <c r="C4" s="181" t="s">
        <v>653</v>
      </c>
      <c r="D4" s="68">
        <v>1</v>
      </c>
      <c r="E4" s="99" t="s">
        <v>668</v>
      </c>
      <c r="F4" s="68" t="s">
        <v>173</v>
      </c>
      <c r="G4" s="99" t="s">
        <v>326</v>
      </c>
      <c r="H4" s="99" t="s">
        <v>678</v>
      </c>
      <c r="I4" s="68" t="s">
        <v>393</v>
      </c>
      <c r="J4" s="190" t="s">
        <v>37</v>
      </c>
    </row>
    <row r="5" spans="1:17" x14ac:dyDescent="0.25">
      <c r="A5" s="185"/>
      <c r="B5" s="182"/>
      <c r="C5" s="182"/>
      <c r="D5" s="14">
        <v>2</v>
      </c>
      <c r="E5" s="96" t="s">
        <v>669</v>
      </c>
      <c r="F5" s="14" t="s">
        <v>172</v>
      </c>
      <c r="G5" s="96" t="s">
        <v>326</v>
      </c>
      <c r="H5" s="96" t="s">
        <v>678</v>
      </c>
      <c r="I5" s="14" t="s">
        <v>393</v>
      </c>
      <c r="J5" s="191"/>
    </row>
    <row r="6" spans="1:17" x14ac:dyDescent="0.25">
      <c r="A6" s="185"/>
      <c r="B6" s="182"/>
      <c r="C6" s="182"/>
      <c r="D6" s="14">
        <v>3</v>
      </c>
      <c r="E6" s="96" t="s">
        <v>670</v>
      </c>
      <c r="F6" s="35">
        <v>46366</v>
      </c>
      <c r="G6" s="96" t="s">
        <v>677</v>
      </c>
      <c r="H6" s="96" t="s">
        <v>386</v>
      </c>
      <c r="I6" s="14" t="s">
        <v>393</v>
      </c>
      <c r="J6" s="191"/>
    </row>
    <row r="7" spans="1:17" x14ac:dyDescent="0.25">
      <c r="A7" s="185"/>
      <c r="B7" s="182"/>
      <c r="C7" s="182"/>
      <c r="D7" s="14">
        <v>4</v>
      </c>
      <c r="E7" s="96" t="s">
        <v>671</v>
      </c>
      <c r="F7" s="14" t="s">
        <v>676</v>
      </c>
      <c r="G7" s="96" t="s">
        <v>330</v>
      </c>
      <c r="H7" s="96" t="s">
        <v>285</v>
      </c>
      <c r="I7" s="14" t="s">
        <v>393</v>
      </c>
      <c r="J7" s="191"/>
      <c r="M7" s="17"/>
    </row>
    <row r="8" spans="1:17" x14ac:dyDescent="0.25">
      <c r="A8" s="185"/>
      <c r="B8" s="182"/>
      <c r="C8" s="182"/>
      <c r="D8" s="14">
        <v>5</v>
      </c>
      <c r="E8" s="96" t="s">
        <v>672</v>
      </c>
      <c r="F8" s="14" t="s">
        <v>164</v>
      </c>
      <c r="G8" s="96" t="s">
        <v>326</v>
      </c>
      <c r="H8" s="96" t="s">
        <v>516</v>
      </c>
      <c r="I8" s="14" t="s">
        <v>393</v>
      </c>
      <c r="J8" s="191"/>
    </row>
    <row r="9" spans="1:17" x14ac:dyDescent="0.25">
      <c r="A9" s="185"/>
      <c r="B9" s="182"/>
      <c r="C9" s="182"/>
      <c r="D9" s="14">
        <v>6</v>
      </c>
      <c r="E9" s="96" t="s">
        <v>673</v>
      </c>
      <c r="F9" s="14">
        <v>2</v>
      </c>
      <c r="G9" s="96" t="s">
        <v>330</v>
      </c>
      <c r="H9" s="96" t="s">
        <v>285</v>
      </c>
      <c r="I9" s="14" t="s">
        <v>393</v>
      </c>
      <c r="J9" s="191"/>
    </row>
    <row r="10" spans="1:17" x14ac:dyDescent="0.25">
      <c r="A10" s="185"/>
      <c r="B10" s="182"/>
      <c r="C10" s="182"/>
      <c r="D10" s="14">
        <v>7</v>
      </c>
      <c r="E10" s="96" t="s">
        <v>674</v>
      </c>
      <c r="F10" s="19" t="s">
        <v>267</v>
      </c>
      <c r="G10" s="96" t="s">
        <v>679</v>
      </c>
      <c r="H10" s="96" t="s">
        <v>680</v>
      </c>
      <c r="I10" s="14" t="s">
        <v>393</v>
      </c>
      <c r="J10" s="191"/>
    </row>
    <row r="11" spans="1:17" ht="15" thickBot="1" x14ac:dyDescent="0.3">
      <c r="A11" s="186"/>
      <c r="B11" s="183"/>
      <c r="C11" s="183"/>
      <c r="D11" s="71">
        <v>8</v>
      </c>
      <c r="E11" s="100" t="s">
        <v>675</v>
      </c>
      <c r="F11" s="73" t="s">
        <v>267</v>
      </c>
      <c r="G11" s="100" t="s">
        <v>681</v>
      </c>
      <c r="H11" s="100" t="s">
        <v>682</v>
      </c>
      <c r="I11" s="71" t="s">
        <v>393</v>
      </c>
      <c r="J11" s="192"/>
    </row>
    <row r="12" spans="1:17" ht="15" thickBot="1" x14ac:dyDescent="0.3"/>
    <row r="13" spans="1:17" x14ac:dyDescent="0.25">
      <c r="A13" s="184" t="s">
        <v>693</v>
      </c>
      <c r="B13" s="181" t="s">
        <v>736</v>
      </c>
      <c r="C13" s="181" t="s">
        <v>653</v>
      </c>
      <c r="D13" s="68">
        <v>1</v>
      </c>
      <c r="E13" s="99" t="s">
        <v>668</v>
      </c>
      <c r="F13" s="68" t="s">
        <v>173</v>
      </c>
      <c r="G13" s="99" t="s">
        <v>326</v>
      </c>
      <c r="H13" s="99" t="s">
        <v>678</v>
      </c>
      <c r="I13" s="68" t="s">
        <v>393</v>
      </c>
      <c r="J13" s="190" t="s">
        <v>37</v>
      </c>
    </row>
    <row r="14" spans="1:17" x14ac:dyDescent="0.25">
      <c r="A14" s="185"/>
      <c r="B14" s="182"/>
      <c r="C14" s="182"/>
      <c r="D14" s="14">
        <v>2</v>
      </c>
      <c r="E14" s="96" t="s">
        <v>669</v>
      </c>
      <c r="F14" s="14" t="s">
        <v>173</v>
      </c>
      <c r="G14" s="96" t="s">
        <v>326</v>
      </c>
      <c r="H14" s="96" t="s">
        <v>678</v>
      </c>
      <c r="I14" s="14" t="s">
        <v>393</v>
      </c>
      <c r="J14" s="191"/>
    </row>
    <row r="15" spans="1:17" x14ac:dyDescent="0.25">
      <c r="A15" s="185"/>
      <c r="B15" s="182"/>
      <c r="C15" s="182"/>
      <c r="D15" s="14">
        <v>3</v>
      </c>
      <c r="E15" s="96" t="s">
        <v>670</v>
      </c>
      <c r="F15" s="35">
        <v>46366</v>
      </c>
      <c r="G15" s="96" t="s">
        <v>677</v>
      </c>
      <c r="H15" s="96" t="s">
        <v>386</v>
      </c>
      <c r="I15" s="14" t="s">
        <v>393</v>
      </c>
      <c r="J15" s="191"/>
    </row>
    <row r="16" spans="1:17" x14ac:dyDescent="0.25">
      <c r="A16" s="185"/>
      <c r="B16" s="182"/>
      <c r="C16" s="182"/>
      <c r="D16" s="14">
        <v>4</v>
      </c>
      <c r="E16" s="96" t="s">
        <v>671</v>
      </c>
      <c r="F16" s="14" t="s">
        <v>676</v>
      </c>
      <c r="G16" s="96" t="s">
        <v>330</v>
      </c>
      <c r="H16" s="96" t="s">
        <v>285</v>
      </c>
      <c r="I16" s="14" t="s">
        <v>393</v>
      </c>
      <c r="J16" s="191"/>
    </row>
    <row r="17" spans="1:10" x14ac:dyDescent="0.25">
      <c r="A17" s="185"/>
      <c r="B17" s="182"/>
      <c r="C17" s="182"/>
      <c r="D17" s="14">
        <v>5</v>
      </c>
      <c r="E17" s="96" t="s">
        <v>672</v>
      </c>
      <c r="F17" s="14" t="s">
        <v>167</v>
      </c>
      <c r="G17" s="96" t="s">
        <v>326</v>
      </c>
      <c r="H17" s="96" t="s">
        <v>516</v>
      </c>
      <c r="I17" s="14" t="s">
        <v>393</v>
      </c>
      <c r="J17" s="191"/>
    </row>
    <row r="18" spans="1:10" x14ac:dyDescent="0.25">
      <c r="A18" s="185"/>
      <c r="B18" s="182"/>
      <c r="C18" s="182"/>
      <c r="D18" s="14">
        <v>6</v>
      </c>
      <c r="E18" s="96" t="s">
        <v>673</v>
      </c>
      <c r="F18" s="14">
        <v>10</v>
      </c>
      <c r="G18" s="96" t="s">
        <v>330</v>
      </c>
      <c r="H18" s="96" t="s">
        <v>285</v>
      </c>
      <c r="I18" s="14" t="s">
        <v>393</v>
      </c>
      <c r="J18" s="191"/>
    </row>
    <row r="19" spans="1:10" x14ac:dyDescent="0.25">
      <c r="A19" s="185"/>
      <c r="B19" s="182"/>
      <c r="C19" s="182"/>
      <c r="D19" s="14">
        <v>7</v>
      </c>
      <c r="E19" s="96" t="s">
        <v>674</v>
      </c>
      <c r="F19" s="19" t="s">
        <v>267</v>
      </c>
      <c r="G19" s="96" t="s">
        <v>679</v>
      </c>
      <c r="H19" s="96" t="s">
        <v>680</v>
      </c>
      <c r="I19" s="14" t="s">
        <v>393</v>
      </c>
      <c r="J19" s="191"/>
    </row>
    <row r="20" spans="1:10" ht="15" thickBot="1" x14ac:dyDescent="0.3">
      <c r="A20" s="186"/>
      <c r="B20" s="183"/>
      <c r="C20" s="183"/>
      <c r="D20" s="71">
        <v>8</v>
      </c>
      <c r="E20" s="100" t="s">
        <v>675</v>
      </c>
      <c r="F20" s="73" t="s">
        <v>267</v>
      </c>
      <c r="G20" s="100" t="s">
        <v>694</v>
      </c>
      <c r="H20" s="100" t="s">
        <v>695</v>
      </c>
      <c r="I20" s="71" t="s">
        <v>393</v>
      </c>
      <c r="J20" s="192"/>
    </row>
    <row r="21" spans="1:10" ht="15" thickBot="1" x14ac:dyDescent="0.3"/>
    <row r="22" spans="1:10" x14ac:dyDescent="0.25">
      <c r="A22" s="184" t="s">
        <v>696</v>
      </c>
      <c r="B22" s="181" t="s">
        <v>737</v>
      </c>
      <c r="C22" s="181" t="s">
        <v>653</v>
      </c>
      <c r="D22" s="68">
        <v>1</v>
      </c>
      <c r="E22" s="99" t="s">
        <v>668</v>
      </c>
      <c r="F22" s="68" t="s">
        <v>175</v>
      </c>
      <c r="G22" s="99" t="s">
        <v>326</v>
      </c>
      <c r="H22" s="99" t="s">
        <v>678</v>
      </c>
      <c r="I22" s="68" t="s">
        <v>393</v>
      </c>
      <c r="J22" s="190" t="s">
        <v>37</v>
      </c>
    </row>
    <row r="23" spans="1:10" x14ac:dyDescent="0.25">
      <c r="A23" s="185"/>
      <c r="B23" s="182"/>
      <c r="C23" s="182"/>
      <c r="D23" s="14">
        <v>2</v>
      </c>
      <c r="E23" s="96" t="s">
        <v>669</v>
      </c>
      <c r="F23" s="14" t="s">
        <v>174</v>
      </c>
      <c r="G23" s="96" t="s">
        <v>326</v>
      </c>
      <c r="H23" s="96" t="s">
        <v>678</v>
      </c>
      <c r="I23" s="14" t="s">
        <v>393</v>
      </c>
      <c r="J23" s="191"/>
    </row>
    <row r="24" spans="1:10" x14ac:dyDescent="0.25">
      <c r="A24" s="185"/>
      <c r="B24" s="182"/>
      <c r="C24" s="182"/>
      <c r="D24" s="14">
        <v>3</v>
      </c>
      <c r="E24" s="96" t="s">
        <v>670</v>
      </c>
      <c r="F24" s="35" t="s">
        <v>698</v>
      </c>
      <c r="G24" s="96" t="s">
        <v>699</v>
      </c>
      <c r="H24" s="96" t="s">
        <v>700</v>
      </c>
      <c r="I24" s="14" t="s">
        <v>393</v>
      </c>
      <c r="J24" s="191"/>
    </row>
    <row r="25" spans="1:10" x14ac:dyDescent="0.25">
      <c r="A25" s="185"/>
      <c r="B25" s="182"/>
      <c r="C25" s="182"/>
      <c r="D25" s="14">
        <v>4</v>
      </c>
      <c r="E25" s="96" t="s">
        <v>671</v>
      </c>
      <c r="F25" s="14" t="s">
        <v>676</v>
      </c>
      <c r="G25" s="96" t="s">
        <v>330</v>
      </c>
      <c r="H25" s="96" t="s">
        <v>285</v>
      </c>
      <c r="I25" s="14" t="s">
        <v>393</v>
      </c>
      <c r="J25" s="191"/>
    </row>
    <row r="26" spans="1:10" x14ac:dyDescent="0.25">
      <c r="A26" s="185"/>
      <c r="B26" s="182"/>
      <c r="C26" s="182"/>
      <c r="D26" s="14">
        <v>5</v>
      </c>
      <c r="E26" s="96" t="s">
        <v>672</v>
      </c>
      <c r="F26" s="14" t="s">
        <v>167</v>
      </c>
      <c r="G26" s="96" t="s">
        <v>326</v>
      </c>
      <c r="H26" s="96" t="s">
        <v>516</v>
      </c>
      <c r="I26" s="14" t="s">
        <v>393</v>
      </c>
      <c r="J26" s="191"/>
    </row>
    <row r="27" spans="1:10" x14ac:dyDescent="0.25">
      <c r="A27" s="185"/>
      <c r="B27" s="182"/>
      <c r="C27" s="182"/>
      <c r="D27" s="14">
        <v>6</v>
      </c>
      <c r="E27" s="96" t="s">
        <v>673</v>
      </c>
      <c r="F27" s="14">
        <v>10</v>
      </c>
      <c r="G27" s="96" t="s">
        <v>330</v>
      </c>
      <c r="H27" s="96" t="s">
        <v>285</v>
      </c>
      <c r="I27" s="14" t="s">
        <v>393</v>
      </c>
      <c r="J27" s="191"/>
    </row>
    <row r="28" spans="1:10" x14ac:dyDescent="0.25">
      <c r="A28" s="185"/>
      <c r="B28" s="182"/>
      <c r="C28" s="182"/>
      <c r="D28" s="14">
        <v>7</v>
      </c>
      <c r="E28" s="96" t="s">
        <v>674</v>
      </c>
      <c r="F28" s="19" t="s">
        <v>267</v>
      </c>
      <c r="G28" s="96" t="s">
        <v>679</v>
      </c>
      <c r="H28" s="96" t="s">
        <v>680</v>
      </c>
      <c r="I28" s="14" t="s">
        <v>393</v>
      </c>
      <c r="J28" s="191"/>
    </row>
    <row r="29" spans="1:10" ht="15" thickBot="1" x14ac:dyDescent="0.3">
      <c r="A29" s="186"/>
      <c r="B29" s="183"/>
      <c r="C29" s="183"/>
      <c r="D29" s="71">
        <v>8</v>
      </c>
      <c r="E29" s="100" t="s">
        <v>675</v>
      </c>
      <c r="F29" s="73" t="s">
        <v>267</v>
      </c>
      <c r="G29" s="100" t="s">
        <v>694</v>
      </c>
      <c r="H29" s="100" t="s">
        <v>695</v>
      </c>
      <c r="I29" s="71" t="s">
        <v>393</v>
      </c>
      <c r="J29" s="192"/>
    </row>
    <row r="30" spans="1:10" ht="15" thickBot="1" x14ac:dyDescent="0.3"/>
    <row r="31" spans="1:10" x14ac:dyDescent="0.25">
      <c r="A31" s="184" t="s">
        <v>697</v>
      </c>
      <c r="B31" s="181" t="s">
        <v>738</v>
      </c>
      <c r="C31" s="181" t="s">
        <v>653</v>
      </c>
      <c r="D31" s="68">
        <v>1</v>
      </c>
      <c r="E31" s="99" t="s">
        <v>668</v>
      </c>
      <c r="F31" s="68" t="s">
        <v>175</v>
      </c>
      <c r="G31" s="99" t="s">
        <v>326</v>
      </c>
      <c r="H31" s="99" t="s">
        <v>678</v>
      </c>
      <c r="I31" s="68" t="s">
        <v>393</v>
      </c>
      <c r="J31" s="190" t="s">
        <v>37</v>
      </c>
    </row>
    <row r="32" spans="1:10" x14ac:dyDescent="0.25">
      <c r="A32" s="185"/>
      <c r="B32" s="182"/>
      <c r="C32" s="182"/>
      <c r="D32" s="14">
        <v>2</v>
      </c>
      <c r="E32" s="96" t="s">
        <v>669</v>
      </c>
      <c r="F32" s="14" t="s">
        <v>172</v>
      </c>
      <c r="G32" s="96" t="s">
        <v>326</v>
      </c>
      <c r="H32" s="96" t="s">
        <v>678</v>
      </c>
      <c r="I32" s="14" t="s">
        <v>393</v>
      </c>
      <c r="J32" s="191"/>
    </row>
    <row r="33" spans="1:10" x14ac:dyDescent="0.25">
      <c r="A33" s="185"/>
      <c r="B33" s="182"/>
      <c r="C33" s="182"/>
      <c r="D33" s="14">
        <v>3</v>
      </c>
      <c r="E33" s="96" t="s">
        <v>670</v>
      </c>
      <c r="F33" s="35">
        <v>46366</v>
      </c>
      <c r="G33" s="96" t="s">
        <v>677</v>
      </c>
      <c r="H33" s="96" t="s">
        <v>386</v>
      </c>
      <c r="I33" s="14" t="s">
        <v>393</v>
      </c>
      <c r="J33" s="191"/>
    </row>
    <row r="34" spans="1:10" x14ac:dyDescent="0.25">
      <c r="A34" s="185"/>
      <c r="B34" s="182"/>
      <c r="C34" s="182"/>
      <c r="D34" s="14">
        <v>4</v>
      </c>
      <c r="E34" s="96" t="s">
        <v>671</v>
      </c>
      <c r="F34" s="14" t="s">
        <v>701</v>
      </c>
      <c r="G34" s="96" t="s">
        <v>702</v>
      </c>
      <c r="H34" s="96" t="s">
        <v>285</v>
      </c>
      <c r="I34" s="14" t="s">
        <v>393</v>
      </c>
      <c r="J34" s="191"/>
    </row>
    <row r="35" spans="1:10" x14ac:dyDescent="0.25">
      <c r="A35" s="185"/>
      <c r="B35" s="182"/>
      <c r="C35" s="182"/>
      <c r="D35" s="14">
        <v>5</v>
      </c>
      <c r="E35" s="96" t="s">
        <v>672</v>
      </c>
      <c r="F35" s="14" t="s">
        <v>165</v>
      </c>
      <c r="G35" s="96" t="s">
        <v>326</v>
      </c>
      <c r="H35" s="96" t="s">
        <v>516</v>
      </c>
      <c r="I35" s="14" t="s">
        <v>393</v>
      </c>
      <c r="J35" s="191"/>
    </row>
    <row r="36" spans="1:10" x14ac:dyDescent="0.25">
      <c r="A36" s="185"/>
      <c r="B36" s="182"/>
      <c r="C36" s="182"/>
      <c r="D36" s="14">
        <v>6</v>
      </c>
      <c r="E36" s="96" t="s">
        <v>673</v>
      </c>
      <c r="F36" s="14">
        <v>1</v>
      </c>
      <c r="G36" s="96" t="s">
        <v>330</v>
      </c>
      <c r="H36" s="96" t="s">
        <v>285</v>
      </c>
      <c r="I36" s="14" t="s">
        <v>393</v>
      </c>
      <c r="J36" s="191"/>
    </row>
    <row r="37" spans="1:10" x14ac:dyDescent="0.25">
      <c r="A37" s="185"/>
      <c r="B37" s="182"/>
      <c r="C37" s="182"/>
      <c r="D37" s="14">
        <v>7</v>
      </c>
      <c r="E37" s="96" t="s">
        <v>674</v>
      </c>
      <c r="F37" s="19" t="s">
        <v>267</v>
      </c>
      <c r="G37" s="96" t="s">
        <v>679</v>
      </c>
      <c r="H37" s="96" t="s">
        <v>680</v>
      </c>
      <c r="I37" s="14" t="s">
        <v>393</v>
      </c>
      <c r="J37" s="191"/>
    </row>
    <row r="38" spans="1:10" ht="15" thickBot="1" x14ac:dyDescent="0.3">
      <c r="A38" s="186"/>
      <c r="B38" s="183"/>
      <c r="C38" s="183"/>
      <c r="D38" s="71">
        <v>8</v>
      </c>
      <c r="E38" s="100" t="s">
        <v>675</v>
      </c>
      <c r="F38" s="73" t="s">
        <v>267</v>
      </c>
      <c r="G38" s="100" t="s">
        <v>694</v>
      </c>
      <c r="H38" s="100" t="s">
        <v>695</v>
      </c>
      <c r="I38" s="71" t="s">
        <v>393</v>
      </c>
      <c r="J38" s="192"/>
    </row>
    <row r="39" spans="1:10" ht="15" thickBot="1" x14ac:dyDescent="0.3"/>
    <row r="40" spans="1:10" x14ac:dyDescent="0.25">
      <c r="A40" s="184" t="s">
        <v>708</v>
      </c>
      <c r="B40" s="181" t="s">
        <v>739</v>
      </c>
      <c r="C40" s="181" t="s">
        <v>653</v>
      </c>
      <c r="D40" s="68">
        <v>1</v>
      </c>
      <c r="E40" s="99" t="s">
        <v>668</v>
      </c>
      <c r="F40" s="68" t="s">
        <v>173</v>
      </c>
      <c r="G40" s="99" t="s">
        <v>326</v>
      </c>
      <c r="H40" s="99" t="s">
        <v>678</v>
      </c>
      <c r="I40" s="68" t="s">
        <v>393</v>
      </c>
      <c r="J40" s="190" t="s">
        <v>37</v>
      </c>
    </row>
    <row r="41" spans="1:10" x14ac:dyDescent="0.25">
      <c r="A41" s="185"/>
      <c r="B41" s="182"/>
      <c r="C41" s="182"/>
      <c r="D41" s="14">
        <v>2</v>
      </c>
      <c r="E41" s="96" t="s">
        <v>669</v>
      </c>
      <c r="F41" s="14" t="s">
        <v>172</v>
      </c>
      <c r="G41" s="96" t="s">
        <v>326</v>
      </c>
      <c r="H41" s="96" t="s">
        <v>678</v>
      </c>
      <c r="I41" s="14" t="s">
        <v>393</v>
      </c>
      <c r="J41" s="191"/>
    </row>
    <row r="42" spans="1:10" x14ac:dyDescent="0.25">
      <c r="A42" s="185"/>
      <c r="B42" s="182"/>
      <c r="C42" s="182"/>
      <c r="D42" s="14">
        <v>3</v>
      </c>
      <c r="E42" s="96" t="s">
        <v>670</v>
      </c>
      <c r="F42" s="35">
        <v>46366</v>
      </c>
      <c r="G42" s="96" t="s">
        <v>677</v>
      </c>
      <c r="H42" s="96" t="s">
        <v>386</v>
      </c>
      <c r="I42" s="14" t="s">
        <v>393</v>
      </c>
      <c r="J42" s="191"/>
    </row>
    <row r="43" spans="1:10" x14ac:dyDescent="0.25">
      <c r="A43" s="185"/>
      <c r="B43" s="182"/>
      <c r="C43" s="182"/>
      <c r="D43" s="14">
        <v>4</v>
      </c>
      <c r="E43" s="96" t="s">
        <v>671</v>
      </c>
      <c r="F43" s="14" t="s">
        <v>676</v>
      </c>
      <c r="G43" s="96" t="s">
        <v>330</v>
      </c>
      <c r="H43" s="96" t="s">
        <v>285</v>
      </c>
      <c r="I43" s="14" t="s">
        <v>393</v>
      </c>
      <c r="J43" s="191"/>
    </row>
    <row r="44" spans="1:10" x14ac:dyDescent="0.25">
      <c r="A44" s="185"/>
      <c r="B44" s="182"/>
      <c r="C44" s="182"/>
      <c r="D44" s="14">
        <v>5</v>
      </c>
      <c r="E44" s="96" t="s">
        <v>672</v>
      </c>
      <c r="F44" s="14" t="s">
        <v>164</v>
      </c>
      <c r="G44" s="96" t="s">
        <v>326</v>
      </c>
      <c r="H44" s="96" t="s">
        <v>516</v>
      </c>
      <c r="I44" s="14" t="s">
        <v>393</v>
      </c>
      <c r="J44" s="191"/>
    </row>
    <row r="45" spans="1:10" x14ac:dyDescent="0.25">
      <c r="A45" s="185"/>
      <c r="B45" s="182"/>
      <c r="C45" s="182"/>
      <c r="D45" s="14">
        <v>6</v>
      </c>
      <c r="E45" s="96" t="s">
        <v>703</v>
      </c>
      <c r="F45" s="17">
        <v>20598</v>
      </c>
      <c r="G45" s="96" t="s">
        <v>704</v>
      </c>
      <c r="H45" s="96" t="s">
        <v>705</v>
      </c>
      <c r="I45" s="14" t="s">
        <v>393</v>
      </c>
      <c r="J45" s="191"/>
    </row>
    <row r="46" spans="1:10" x14ac:dyDescent="0.25">
      <c r="A46" s="185"/>
      <c r="B46" s="182"/>
      <c r="C46" s="182"/>
      <c r="D46" s="14">
        <v>7</v>
      </c>
      <c r="E46" s="96" t="s">
        <v>673</v>
      </c>
      <c r="F46" s="14">
        <v>2</v>
      </c>
      <c r="G46" s="96" t="s">
        <v>330</v>
      </c>
      <c r="H46" s="96" t="s">
        <v>285</v>
      </c>
      <c r="I46" s="14" t="s">
        <v>393</v>
      </c>
      <c r="J46" s="191"/>
    </row>
    <row r="47" spans="1:10" x14ac:dyDescent="0.25">
      <c r="A47" s="185"/>
      <c r="B47" s="182"/>
      <c r="C47" s="182"/>
      <c r="D47" s="14">
        <v>8</v>
      </c>
      <c r="E47" s="96" t="s">
        <v>674</v>
      </c>
      <c r="F47" s="19" t="s">
        <v>267</v>
      </c>
      <c r="G47" s="96" t="s">
        <v>679</v>
      </c>
      <c r="H47" s="96" t="s">
        <v>680</v>
      </c>
      <c r="I47" s="14" t="s">
        <v>393</v>
      </c>
      <c r="J47" s="191"/>
    </row>
    <row r="48" spans="1:10" ht="15" thickBot="1" x14ac:dyDescent="0.3">
      <c r="A48" s="186"/>
      <c r="B48" s="183"/>
      <c r="C48" s="183"/>
      <c r="D48" s="14">
        <v>9</v>
      </c>
      <c r="E48" s="100" t="s">
        <v>675</v>
      </c>
      <c r="F48" s="73" t="s">
        <v>267</v>
      </c>
      <c r="G48" s="100" t="s">
        <v>706</v>
      </c>
      <c r="H48" s="100" t="s">
        <v>707</v>
      </c>
      <c r="I48" s="71" t="s">
        <v>393</v>
      </c>
      <c r="J48" s="192"/>
    </row>
    <row r="49" spans="1:10" ht="15" thickBot="1" x14ac:dyDescent="0.3"/>
    <row r="50" spans="1:10" x14ac:dyDescent="0.25">
      <c r="A50" s="184" t="s">
        <v>709</v>
      </c>
      <c r="B50" s="181" t="s">
        <v>740</v>
      </c>
      <c r="C50" s="181" t="s">
        <v>653</v>
      </c>
      <c r="D50" s="68">
        <v>1</v>
      </c>
      <c r="E50" s="99" t="s">
        <v>668</v>
      </c>
      <c r="F50" s="68" t="s">
        <v>173</v>
      </c>
      <c r="G50" s="99" t="s">
        <v>326</v>
      </c>
      <c r="H50" s="99" t="s">
        <v>678</v>
      </c>
      <c r="I50" s="68" t="s">
        <v>393</v>
      </c>
      <c r="J50" s="190" t="s">
        <v>37</v>
      </c>
    </row>
    <row r="51" spans="1:10" x14ac:dyDescent="0.25">
      <c r="A51" s="185"/>
      <c r="B51" s="182"/>
      <c r="C51" s="182"/>
      <c r="D51" s="14">
        <v>2</v>
      </c>
      <c r="E51" s="96" t="s">
        <v>669</v>
      </c>
      <c r="F51" s="14" t="s">
        <v>172</v>
      </c>
      <c r="G51" s="96" t="s">
        <v>326</v>
      </c>
      <c r="H51" s="96" t="s">
        <v>678</v>
      </c>
      <c r="I51" s="14" t="s">
        <v>393</v>
      </c>
      <c r="J51" s="191"/>
    </row>
    <row r="52" spans="1:10" x14ac:dyDescent="0.25">
      <c r="A52" s="185"/>
      <c r="B52" s="182"/>
      <c r="C52" s="182"/>
      <c r="D52" s="14">
        <v>3</v>
      </c>
      <c r="E52" s="96" t="s">
        <v>670</v>
      </c>
      <c r="F52" s="35">
        <v>46366</v>
      </c>
      <c r="G52" s="96" t="s">
        <v>677</v>
      </c>
      <c r="H52" s="96" t="s">
        <v>386</v>
      </c>
      <c r="I52" s="14" t="s">
        <v>393</v>
      </c>
      <c r="J52" s="191"/>
    </row>
    <row r="53" spans="1:10" x14ac:dyDescent="0.25">
      <c r="A53" s="185"/>
      <c r="B53" s="182"/>
      <c r="C53" s="182"/>
      <c r="D53" s="14">
        <v>4</v>
      </c>
      <c r="E53" s="96" t="s">
        <v>671</v>
      </c>
      <c r="F53" s="14" t="s">
        <v>676</v>
      </c>
      <c r="G53" s="96" t="s">
        <v>330</v>
      </c>
      <c r="H53" s="96" t="s">
        <v>285</v>
      </c>
      <c r="I53" s="14" t="s">
        <v>393</v>
      </c>
      <c r="J53" s="191"/>
    </row>
    <row r="54" spans="1:10" x14ac:dyDescent="0.25">
      <c r="A54" s="185"/>
      <c r="B54" s="182"/>
      <c r="C54" s="182"/>
      <c r="D54" s="14">
        <v>5</v>
      </c>
      <c r="E54" s="96" t="s">
        <v>672</v>
      </c>
      <c r="F54" s="14" t="s">
        <v>164</v>
      </c>
      <c r="G54" s="96" t="s">
        <v>326</v>
      </c>
      <c r="H54" s="96" t="s">
        <v>516</v>
      </c>
      <c r="I54" s="14" t="s">
        <v>393</v>
      </c>
      <c r="J54" s="191"/>
    </row>
    <row r="55" spans="1:10" x14ac:dyDescent="0.25">
      <c r="A55" s="185"/>
      <c r="B55" s="182"/>
      <c r="C55" s="182"/>
      <c r="D55" s="14">
        <v>6</v>
      </c>
      <c r="E55" s="96" t="s">
        <v>673</v>
      </c>
      <c r="F55" s="14" t="s">
        <v>710</v>
      </c>
      <c r="G55" s="96" t="s">
        <v>711</v>
      </c>
      <c r="H55" s="96" t="s">
        <v>712</v>
      </c>
      <c r="I55" s="14" t="s">
        <v>393</v>
      </c>
      <c r="J55" s="191"/>
    </row>
    <row r="56" spans="1:10" x14ac:dyDescent="0.25">
      <c r="A56" s="185"/>
      <c r="B56" s="182"/>
      <c r="C56" s="182"/>
      <c r="D56" s="14">
        <v>7</v>
      </c>
      <c r="E56" s="96" t="s">
        <v>674</v>
      </c>
      <c r="F56" s="19" t="s">
        <v>267</v>
      </c>
      <c r="G56" s="96" t="s">
        <v>679</v>
      </c>
      <c r="H56" s="96" t="s">
        <v>680</v>
      </c>
      <c r="I56" s="14" t="s">
        <v>393</v>
      </c>
      <c r="J56" s="191"/>
    </row>
    <row r="57" spans="1:10" ht="15" thickBot="1" x14ac:dyDescent="0.3">
      <c r="A57" s="186"/>
      <c r="B57" s="183"/>
      <c r="C57" s="183"/>
      <c r="D57" s="71">
        <v>8</v>
      </c>
      <c r="E57" s="100" t="s">
        <v>675</v>
      </c>
      <c r="F57" s="73" t="s">
        <v>267</v>
      </c>
      <c r="G57" s="100" t="s">
        <v>694</v>
      </c>
      <c r="H57" s="100" t="s">
        <v>695</v>
      </c>
      <c r="I57" s="71" t="s">
        <v>393</v>
      </c>
      <c r="J57" s="192"/>
    </row>
    <row r="58" spans="1:10" ht="15" thickBot="1" x14ac:dyDescent="0.3"/>
    <row r="59" spans="1:10" ht="15" thickBot="1" x14ac:dyDescent="0.3">
      <c r="A59" s="154" t="s">
        <v>713</v>
      </c>
      <c r="B59" s="155"/>
      <c r="C59" s="155"/>
      <c r="D59" s="155"/>
      <c r="E59" s="155"/>
      <c r="F59" s="155"/>
      <c r="G59" s="285"/>
      <c r="H59" s="285"/>
      <c r="I59" s="155"/>
      <c r="J59" s="156"/>
    </row>
    <row r="60" spans="1:10" ht="15" thickBot="1" x14ac:dyDescent="0.3"/>
    <row r="61" spans="1:10" x14ac:dyDescent="0.25">
      <c r="A61" s="157" t="s">
        <v>850</v>
      </c>
      <c r="B61" s="160" t="s">
        <v>851</v>
      </c>
      <c r="C61" s="160" t="s">
        <v>840</v>
      </c>
      <c r="D61" s="68">
        <v>1</v>
      </c>
      <c r="E61" s="99" t="s">
        <v>852</v>
      </c>
      <c r="F61" s="68" t="s">
        <v>165</v>
      </c>
      <c r="G61" s="99" t="s">
        <v>326</v>
      </c>
      <c r="H61" s="99" t="s">
        <v>853</v>
      </c>
      <c r="I61" s="68" t="s">
        <v>854</v>
      </c>
      <c r="J61" s="168" t="s">
        <v>37</v>
      </c>
    </row>
    <row r="62" spans="1:10" x14ac:dyDescent="0.25">
      <c r="A62" s="158"/>
      <c r="B62" s="161"/>
      <c r="C62" s="161"/>
      <c r="D62" s="14">
        <v>2</v>
      </c>
      <c r="E62" s="96" t="s">
        <v>855</v>
      </c>
      <c r="F62" s="14" t="s">
        <v>172</v>
      </c>
      <c r="G62" s="96" t="s">
        <v>326</v>
      </c>
      <c r="H62" s="96" t="s">
        <v>856</v>
      </c>
      <c r="I62" s="14" t="s">
        <v>854</v>
      </c>
      <c r="J62" s="169"/>
    </row>
    <row r="63" spans="1:10" x14ac:dyDescent="0.25">
      <c r="A63" s="158"/>
      <c r="B63" s="161"/>
      <c r="C63" s="161"/>
      <c r="D63" s="14">
        <v>3</v>
      </c>
      <c r="E63" s="96" t="s">
        <v>857</v>
      </c>
      <c r="F63" s="35">
        <v>46336</v>
      </c>
      <c r="G63" s="96" t="s">
        <v>677</v>
      </c>
      <c r="H63" s="96" t="s">
        <v>446</v>
      </c>
      <c r="I63" s="14" t="s">
        <v>854</v>
      </c>
      <c r="J63" s="169"/>
    </row>
    <row r="64" spans="1:10" x14ac:dyDescent="0.25">
      <c r="A64" s="158"/>
      <c r="B64" s="161"/>
      <c r="C64" s="161"/>
      <c r="D64" s="14">
        <v>4</v>
      </c>
      <c r="E64" s="96" t="s">
        <v>858</v>
      </c>
      <c r="F64" s="35">
        <v>46336</v>
      </c>
      <c r="G64" s="96" t="s">
        <v>677</v>
      </c>
      <c r="H64" s="96" t="s">
        <v>446</v>
      </c>
      <c r="I64" s="14" t="s">
        <v>854</v>
      </c>
      <c r="J64" s="169"/>
    </row>
    <row r="65" spans="1:10" ht="29.4" thickBot="1" x14ac:dyDescent="0.3">
      <c r="A65" s="159"/>
      <c r="B65" s="162"/>
      <c r="C65" s="162"/>
      <c r="D65" s="71">
        <v>5</v>
      </c>
      <c r="E65" s="100" t="s">
        <v>859</v>
      </c>
      <c r="F65" s="73" t="s">
        <v>267</v>
      </c>
      <c r="G65" s="121" t="s">
        <v>860</v>
      </c>
      <c r="H65" s="100" t="s">
        <v>861</v>
      </c>
      <c r="I65" s="71" t="s">
        <v>854</v>
      </c>
      <c r="J65" s="171"/>
    </row>
    <row r="66" spans="1:10" ht="15" thickBot="1" x14ac:dyDescent="0.3"/>
    <row r="67" spans="1:10" x14ac:dyDescent="0.25">
      <c r="A67" s="157" t="s">
        <v>862</v>
      </c>
      <c r="B67" s="160" t="s">
        <v>863</v>
      </c>
      <c r="C67" s="160" t="s">
        <v>840</v>
      </c>
      <c r="D67" s="68">
        <v>1</v>
      </c>
      <c r="E67" s="99" t="s">
        <v>852</v>
      </c>
      <c r="F67" s="68" t="s">
        <v>167</v>
      </c>
      <c r="G67" s="99" t="s">
        <v>326</v>
      </c>
      <c r="H67" s="99" t="s">
        <v>853</v>
      </c>
      <c r="I67" s="68" t="s">
        <v>854</v>
      </c>
      <c r="J67" s="168" t="s">
        <v>182</v>
      </c>
    </row>
    <row r="68" spans="1:10" x14ac:dyDescent="0.25">
      <c r="A68" s="158"/>
      <c r="B68" s="161"/>
      <c r="C68" s="161"/>
      <c r="D68" s="14">
        <v>2</v>
      </c>
      <c r="E68" s="96" t="s">
        <v>855</v>
      </c>
      <c r="F68" s="14" t="s">
        <v>172</v>
      </c>
      <c r="G68" s="96" t="s">
        <v>326</v>
      </c>
      <c r="H68" s="96" t="s">
        <v>856</v>
      </c>
      <c r="I68" s="14" t="s">
        <v>854</v>
      </c>
      <c r="J68" s="169"/>
    </row>
    <row r="69" spans="1:10" x14ac:dyDescent="0.25">
      <c r="A69" s="158"/>
      <c r="B69" s="161"/>
      <c r="C69" s="161"/>
      <c r="D69" s="14">
        <v>3</v>
      </c>
      <c r="E69" s="96" t="s">
        <v>857</v>
      </c>
      <c r="F69" s="35" t="s">
        <v>867</v>
      </c>
      <c r="G69" s="96" t="s">
        <v>864</v>
      </c>
      <c r="H69" s="96" t="s">
        <v>446</v>
      </c>
      <c r="I69" s="14" t="s">
        <v>457</v>
      </c>
      <c r="J69" s="169"/>
    </row>
    <row r="70" spans="1:10" x14ac:dyDescent="0.25">
      <c r="A70" s="158"/>
      <c r="B70" s="161"/>
      <c r="C70" s="161"/>
      <c r="D70" s="14">
        <v>4</v>
      </c>
      <c r="E70" s="96" t="s">
        <v>858</v>
      </c>
      <c r="F70" s="35">
        <v>46336</v>
      </c>
      <c r="G70" s="96" t="s">
        <v>677</v>
      </c>
      <c r="H70" s="96" t="s">
        <v>446</v>
      </c>
      <c r="I70" s="14" t="s">
        <v>854</v>
      </c>
      <c r="J70" s="169"/>
    </row>
    <row r="71" spans="1:10" ht="15" thickBot="1" x14ac:dyDescent="0.3">
      <c r="A71" s="159"/>
      <c r="B71" s="162"/>
      <c r="C71" s="162"/>
      <c r="D71" s="71">
        <v>5</v>
      </c>
      <c r="E71" s="100" t="s">
        <v>859</v>
      </c>
      <c r="F71" s="73" t="s">
        <v>267</v>
      </c>
      <c r="G71" s="121" t="s">
        <v>865</v>
      </c>
      <c r="H71" s="100" t="s">
        <v>866</v>
      </c>
      <c r="I71" s="71" t="s">
        <v>457</v>
      </c>
      <c r="J71" s="171"/>
    </row>
    <row r="72" spans="1:10" ht="15" thickBot="1" x14ac:dyDescent="0.3"/>
    <row r="73" spans="1:10" x14ac:dyDescent="0.25">
      <c r="A73" s="157" t="s">
        <v>868</v>
      </c>
      <c r="B73" s="160" t="s">
        <v>869</v>
      </c>
      <c r="C73" s="160" t="s">
        <v>840</v>
      </c>
      <c r="D73" s="68">
        <v>1</v>
      </c>
      <c r="E73" s="99" t="s">
        <v>852</v>
      </c>
      <c r="F73" s="68" t="s">
        <v>163</v>
      </c>
      <c r="G73" s="99" t="s">
        <v>326</v>
      </c>
      <c r="H73" s="99" t="s">
        <v>853</v>
      </c>
      <c r="I73" s="68" t="s">
        <v>854</v>
      </c>
      <c r="J73" s="168" t="s">
        <v>182</v>
      </c>
    </row>
    <row r="74" spans="1:10" x14ac:dyDescent="0.25">
      <c r="A74" s="158"/>
      <c r="B74" s="161"/>
      <c r="C74" s="161"/>
      <c r="D74" s="14">
        <v>2</v>
      </c>
      <c r="E74" s="96" t="s">
        <v>855</v>
      </c>
      <c r="F74" s="14" t="s">
        <v>173</v>
      </c>
      <c r="G74" s="96" t="s">
        <v>326</v>
      </c>
      <c r="H74" s="96" t="s">
        <v>856</v>
      </c>
      <c r="I74" s="14" t="s">
        <v>854</v>
      </c>
      <c r="J74" s="169"/>
    </row>
    <row r="75" spans="1:10" x14ac:dyDescent="0.25">
      <c r="A75" s="158"/>
      <c r="B75" s="161"/>
      <c r="C75" s="161"/>
      <c r="D75" s="14">
        <v>3</v>
      </c>
      <c r="E75" s="96" t="s">
        <v>857</v>
      </c>
      <c r="F75" s="35">
        <v>46336</v>
      </c>
      <c r="G75" s="96" t="s">
        <v>677</v>
      </c>
      <c r="H75" s="96" t="s">
        <v>446</v>
      </c>
      <c r="I75" s="14" t="s">
        <v>854</v>
      </c>
      <c r="J75" s="169"/>
    </row>
    <row r="76" spans="1:10" x14ac:dyDescent="0.25">
      <c r="A76" s="158"/>
      <c r="B76" s="161"/>
      <c r="C76" s="161"/>
      <c r="D76" s="14">
        <v>4</v>
      </c>
      <c r="E76" s="96" t="s">
        <v>858</v>
      </c>
      <c r="F76" s="35" t="s">
        <v>867</v>
      </c>
      <c r="G76" s="96" t="s">
        <v>864</v>
      </c>
      <c r="H76" s="96" t="s">
        <v>446</v>
      </c>
      <c r="I76" s="14" t="s">
        <v>457</v>
      </c>
      <c r="J76" s="169"/>
    </row>
    <row r="77" spans="1:10" ht="15" thickBot="1" x14ac:dyDescent="0.3">
      <c r="A77" s="159"/>
      <c r="B77" s="162"/>
      <c r="C77" s="162"/>
      <c r="D77" s="71">
        <v>5</v>
      </c>
      <c r="E77" s="100" t="s">
        <v>859</v>
      </c>
      <c r="F77" s="73" t="s">
        <v>267</v>
      </c>
      <c r="G77" s="121" t="s">
        <v>865</v>
      </c>
      <c r="H77" s="100" t="s">
        <v>866</v>
      </c>
      <c r="I77" s="71" t="s">
        <v>457</v>
      </c>
      <c r="J77" s="171"/>
    </row>
    <row r="78" spans="1:10" ht="15" thickBot="1" x14ac:dyDescent="0.3"/>
    <row r="79" spans="1:10" x14ac:dyDescent="0.25">
      <c r="A79" s="157" t="s">
        <v>873</v>
      </c>
      <c r="B79" s="160" t="s">
        <v>870</v>
      </c>
      <c r="C79" s="160" t="s">
        <v>840</v>
      </c>
      <c r="D79" s="68">
        <v>1</v>
      </c>
      <c r="E79" s="99" t="s">
        <v>852</v>
      </c>
      <c r="F79" s="68" t="s">
        <v>166</v>
      </c>
      <c r="G79" s="99" t="s">
        <v>326</v>
      </c>
      <c r="H79" s="99" t="s">
        <v>853</v>
      </c>
      <c r="I79" s="68" t="s">
        <v>854</v>
      </c>
      <c r="J79" s="168" t="s">
        <v>182</v>
      </c>
    </row>
    <row r="80" spans="1:10" x14ac:dyDescent="0.25">
      <c r="A80" s="158"/>
      <c r="B80" s="161"/>
      <c r="C80" s="161"/>
      <c r="D80" s="14">
        <v>2</v>
      </c>
      <c r="E80" s="96" t="s">
        <v>855</v>
      </c>
      <c r="F80" s="14" t="s">
        <v>175</v>
      </c>
      <c r="G80" s="96" t="s">
        <v>326</v>
      </c>
      <c r="H80" s="96" t="s">
        <v>856</v>
      </c>
      <c r="I80" s="14" t="s">
        <v>854</v>
      </c>
      <c r="J80" s="169"/>
    </row>
    <row r="81" spans="1:18" x14ac:dyDescent="0.25">
      <c r="A81" s="158"/>
      <c r="B81" s="161"/>
      <c r="C81" s="161"/>
      <c r="D81" s="14">
        <v>3</v>
      </c>
      <c r="E81" s="96" t="s">
        <v>857</v>
      </c>
      <c r="F81" s="35">
        <v>46387</v>
      </c>
      <c r="G81" s="96" t="s">
        <v>871</v>
      </c>
      <c r="H81" s="96" t="s">
        <v>446</v>
      </c>
      <c r="I81" s="14" t="s">
        <v>457</v>
      </c>
      <c r="J81" s="169"/>
    </row>
    <row r="82" spans="1:18" x14ac:dyDescent="0.25">
      <c r="A82" s="158"/>
      <c r="B82" s="161"/>
      <c r="C82" s="161"/>
      <c r="D82" s="14">
        <v>4</v>
      </c>
      <c r="E82" s="96" t="s">
        <v>858</v>
      </c>
      <c r="F82" s="35">
        <v>46336</v>
      </c>
      <c r="G82" s="96" t="s">
        <v>677</v>
      </c>
      <c r="H82" s="96" t="s">
        <v>446</v>
      </c>
      <c r="I82" s="14" t="s">
        <v>854</v>
      </c>
      <c r="J82" s="169"/>
    </row>
    <row r="83" spans="1:18" ht="15" thickBot="1" x14ac:dyDescent="0.3">
      <c r="A83" s="159"/>
      <c r="B83" s="162"/>
      <c r="C83" s="162"/>
      <c r="D83" s="71">
        <v>5</v>
      </c>
      <c r="E83" s="100" t="s">
        <v>859</v>
      </c>
      <c r="F83" s="73" t="s">
        <v>267</v>
      </c>
      <c r="G83" s="121" t="s">
        <v>865</v>
      </c>
      <c r="H83" s="100" t="s">
        <v>872</v>
      </c>
      <c r="I83" s="71" t="s">
        <v>457</v>
      </c>
      <c r="J83" s="171"/>
    </row>
    <row r="84" spans="1:18" ht="15" thickBot="1" x14ac:dyDescent="0.3"/>
    <row r="85" spans="1:18" x14ac:dyDescent="0.25">
      <c r="A85" s="157" t="s">
        <v>874</v>
      </c>
      <c r="B85" s="160" t="s">
        <v>875</v>
      </c>
      <c r="C85" s="160" t="s">
        <v>840</v>
      </c>
      <c r="D85" s="68">
        <v>1</v>
      </c>
      <c r="E85" s="99" t="s">
        <v>852</v>
      </c>
      <c r="F85" s="68" t="s">
        <v>165</v>
      </c>
      <c r="G85" s="99" t="s">
        <v>326</v>
      </c>
      <c r="H85" s="99" t="s">
        <v>853</v>
      </c>
      <c r="I85" s="68" t="s">
        <v>854</v>
      </c>
      <c r="J85" s="168" t="s">
        <v>37</v>
      </c>
    </row>
    <row r="86" spans="1:18" x14ac:dyDescent="0.25">
      <c r="A86" s="158"/>
      <c r="B86" s="161"/>
      <c r="C86" s="161"/>
      <c r="D86" s="14">
        <v>2</v>
      </c>
      <c r="E86" s="96" t="s">
        <v>855</v>
      </c>
      <c r="F86" s="14" t="s">
        <v>174</v>
      </c>
      <c r="G86" s="96" t="s">
        <v>326</v>
      </c>
      <c r="H86" s="96" t="s">
        <v>856</v>
      </c>
      <c r="I86" s="14" t="s">
        <v>854</v>
      </c>
      <c r="J86" s="169"/>
    </row>
    <row r="87" spans="1:18" x14ac:dyDescent="0.25">
      <c r="A87" s="158"/>
      <c r="B87" s="161"/>
      <c r="C87" s="161"/>
      <c r="D87" s="14">
        <v>3</v>
      </c>
      <c r="E87" s="96" t="s">
        <v>876</v>
      </c>
      <c r="F87" s="17" t="s">
        <v>877</v>
      </c>
      <c r="G87" s="96" t="s">
        <v>878</v>
      </c>
      <c r="H87" s="96" t="s">
        <v>879</v>
      </c>
      <c r="I87" s="14" t="s">
        <v>854</v>
      </c>
      <c r="J87" s="169"/>
    </row>
    <row r="88" spans="1:18" x14ac:dyDescent="0.25">
      <c r="A88" s="158"/>
      <c r="B88" s="161"/>
      <c r="C88" s="161"/>
      <c r="D88" s="14">
        <v>4</v>
      </c>
      <c r="E88" s="96" t="s">
        <v>857</v>
      </c>
      <c r="F88" s="35">
        <v>46336</v>
      </c>
      <c r="G88" s="96" t="s">
        <v>677</v>
      </c>
      <c r="H88" s="96" t="s">
        <v>446</v>
      </c>
      <c r="I88" s="14" t="s">
        <v>854</v>
      </c>
      <c r="J88" s="169"/>
      <c r="R88" s="14"/>
    </row>
    <row r="89" spans="1:18" x14ac:dyDescent="0.25">
      <c r="A89" s="158"/>
      <c r="B89" s="161"/>
      <c r="C89" s="161"/>
      <c r="D89" s="14">
        <v>5</v>
      </c>
      <c r="E89" s="96" t="s">
        <v>858</v>
      </c>
      <c r="F89" s="35">
        <v>46336</v>
      </c>
      <c r="G89" s="96" t="s">
        <v>677</v>
      </c>
      <c r="H89" s="96" t="s">
        <v>446</v>
      </c>
      <c r="I89" s="14" t="s">
        <v>854</v>
      </c>
      <c r="J89" s="169"/>
    </row>
    <row r="90" spans="1:18" ht="29.4" thickBot="1" x14ac:dyDescent="0.3">
      <c r="A90" s="159"/>
      <c r="B90" s="162"/>
      <c r="C90" s="162"/>
      <c r="D90" s="71">
        <v>6</v>
      </c>
      <c r="E90" s="100" t="s">
        <v>859</v>
      </c>
      <c r="F90" s="73" t="s">
        <v>267</v>
      </c>
      <c r="G90" s="121" t="s">
        <v>860</v>
      </c>
      <c r="H90" s="100" t="s">
        <v>861</v>
      </c>
      <c r="I90" s="71" t="s">
        <v>854</v>
      </c>
      <c r="J90" s="171"/>
    </row>
    <row r="91" spans="1:18" ht="15" thickBot="1" x14ac:dyDescent="0.3"/>
    <row r="92" spans="1:18" x14ac:dyDescent="0.25">
      <c r="A92" s="157" t="s">
        <v>883</v>
      </c>
      <c r="B92" s="160" t="s">
        <v>880</v>
      </c>
      <c r="C92" s="160" t="s">
        <v>881</v>
      </c>
      <c r="D92" s="68">
        <v>1</v>
      </c>
      <c r="E92" s="99" t="s">
        <v>852</v>
      </c>
      <c r="F92" s="68" t="s">
        <v>166</v>
      </c>
      <c r="G92" s="99" t="s">
        <v>326</v>
      </c>
      <c r="H92" s="99" t="s">
        <v>853</v>
      </c>
      <c r="I92" s="68" t="s">
        <v>854</v>
      </c>
      <c r="J92" s="168" t="s">
        <v>37</v>
      </c>
    </row>
    <row r="93" spans="1:18" x14ac:dyDescent="0.25">
      <c r="A93" s="158"/>
      <c r="B93" s="161"/>
      <c r="C93" s="161"/>
      <c r="D93" s="14">
        <v>2</v>
      </c>
      <c r="E93" s="96" t="s">
        <v>855</v>
      </c>
      <c r="F93" s="14" t="s">
        <v>172</v>
      </c>
      <c r="G93" s="96" t="s">
        <v>326</v>
      </c>
      <c r="H93" s="96" t="s">
        <v>856</v>
      </c>
      <c r="I93" s="14" t="s">
        <v>854</v>
      </c>
      <c r="J93" s="169"/>
    </row>
    <row r="94" spans="1:18" x14ac:dyDescent="0.25">
      <c r="A94" s="158"/>
      <c r="B94" s="161"/>
      <c r="C94" s="161"/>
      <c r="D94" s="14">
        <v>3</v>
      </c>
      <c r="E94" s="96" t="s">
        <v>857</v>
      </c>
      <c r="F94" s="35">
        <v>46336</v>
      </c>
      <c r="G94" s="96" t="s">
        <v>677</v>
      </c>
      <c r="H94" s="96" t="s">
        <v>446</v>
      </c>
      <c r="I94" s="14" t="s">
        <v>854</v>
      </c>
      <c r="J94" s="169"/>
    </row>
    <row r="95" spans="1:18" x14ac:dyDescent="0.25">
      <c r="A95" s="158"/>
      <c r="B95" s="161"/>
      <c r="C95" s="161"/>
      <c r="D95" s="14">
        <v>4</v>
      </c>
      <c r="E95" s="96" t="s">
        <v>858</v>
      </c>
      <c r="F95" s="35">
        <v>46336</v>
      </c>
      <c r="G95" s="96" t="s">
        <v>677</v>
      </c>
      <c r="H95" s="96" t="s">
        <v>446</v>
      </c>
      <c r="I95" s="14" t="s">
        <v>854</v>
      </c>
      <c r="J95" s="169"/>
    </row>
    <row r="96" spans="1:18" ht="29.4" thickBot="1" x14ac:dyDescent="0.3">
      <c r="A96" s="159"/>
      <c r="B96" s="162"/>
      <c r="C96" s="162"/>
      <c r="D96" s="71">
        <v>5</v>
      </c>
      <c r="E96" s="100" t="s">
        <v>859</v>
      </c>
      <c r="F96" s="73" t="s">
        <v>267</v>
      </c>
      <c r="G96" s="121" t="s">
        <v>860</v>
      </c>
      <c r="H96" s="100" t="s">
        <v>882</v>
      </c>
      <c r="I96" s="71" t="s">
        <v>854</v>
      </c>
      <c r="J96" s="171"/>
    </row>
    <row r="97" spans="1:46" ht="15" thickBot="1" x14ac:dyDescent="0.3"/>
    <row r="98" spans="1:46" x14ac:dyDescent="0.25">
      <c r="A98" s="157" t="s">
        <v>884</v>
      </c>
      <c r="B98" s="160" t="s">
        <v>885</v>
      </c>
      <c r="C98" s="160" t="s">
        <v>886</v>
      </c>
      <c r="D98" s="68">
        <v>1</v>
      </c>
      <c r="E98" s="99" t="s">
        <v>852</v>
      </c>
      <c r="F98" s="68" t="s">
        <v>163</v>
      </c>
      <c r="G98" s="99" t="s">
        <v>326</v>
      </c>
      <c r="H98" s="99" t="s">
        <v>853</v>
      </c>
      <c r="I98" s="68" t="s">
        <v>854</v>
      </c>
      <c r="J98" s="168" t="s">
        <v>37</v>
      </c>
    </row>
    <row r="99" spans="1:46" x14ac:dyDescent="0.25">
      <c r="A99" s="158"/>
      <c r="B99" s="161"/>
      <c r="C99" s="161"/>
      <c r="D99" s="14">
        <v>2</v>
      </c>
      <c r="E99" s="96" t="s">
        <v>855</v>
      </c>
      <c r="F99" s="14" t="s">
        <v>175</v>
      </c>
      <c r="G99" s="96" t="s">
        <v>326</v>
      </c>
      <c r="H99" s="96" t="s">
        <v>856</v>
      </c>
      <c r="I99" s="14" t="s">
        <v>854</v>
      </c>
      <c r="J99" s="169"/>
    </row>
    <row r="100" spans="1:46" x14ac:dyDescent="0.25">
      <c r="A100" s="158"/>
      <c r="B100" s="161"/>
      <c r="C100" s="161"/>
      <c r="D100" s="14">
        <v>3</v>
      </c>
      <c r="E100" s="96" t="s">
        <v>857</v>
      </c>
      <c r="F100" s="35">
        <v>46336</v>
      </c>
      <c r="G100" s="96" t="s">
        <v>677</v>
      </c>
      <c r="H100" s="96" t="s">
        <v>446</v>
      </c>
      <c r="I100" s="14" t="s">
        <v>854</v>
      </c>
      <c r="J100" s="169"/>
    </row>
    <row r="101" spans="1:46" x14ac:dyDescent="0.25">
      <c r="A101" s="158"/>
      <c r="B101" s="161"/>
      <c r="C101" s="161"/>
      <c r="D101" s="14">
        <v>4</v>
      </c>
      <c r="E101" s="96" t="s">
        <v>858</v>
      </c>
      <c r="F101" s="35">
        <v>46336</v>
      </c>
      <c r="G101" s="96" t="s">
        <v>677</v>
      </c>
      <c r="H101" s="96" t="s">
        <v>446</v>
      </c>
      <c r="I101" s="14" t="s">
        <v>854</v>
      </c>
      <c r="J101" s="169"/>
    </row>
    <row r="102" spans="1:46" ht="29.4" thickBot="1" x14ac:dyDescent="0.3">
      <c r="A102" s="159"/>
      <c r="B102" s="162"/>
      <c r="C102" s="162"/>
      <c r="D102" s="71">
        <v>5</v>
      </c>
      <c r="E102" s="100" t="s">
        <v>859</v>
      </c>
      <c r="F102" s="73" t="s">
        <v>267</v>
      </c>
      <c r="G102" s="121" t="s">
        <v>860</v>
      </c>
      <c r="H102" s="100" t="s">
        <v>887</v>
      </c>
      <c r="I102" s="71" t="s">
        <v>854</v>
      </c>
      <c r="J102" s="171"/>
    </row>
    <row r="103" spans="1:46" ht="15" thickBot="1" x14ac:dyDescent="0.3"/>
    <row r="104" spans="1:46" x14ac:dyDescent="0.25">
      <c r="A104" s="157" t="s">
        <v>889</v>
      </c>
      <c r="B104" s="160" t="s">
        <v>890</v>
      </c>
      <c r="C104" s="160" t="s">
        <v>840</v>
      </c>
      <c r="D104" s="68">
        <v>1</v>
      </c>
      <c r="E104" s="99" t="s">
        <v>852</v>
      </c>
      <c r="F104" s="68" t="s">
        <v>164</v>
      </c>
      <c r="G104" s="99" t="s">
        <v>326</v>
      </c>
      <c r="H104" s="99" t="s">
        <v>853</v>
      </c>
      <c r="I104" s="68" t="s">
        <v>854</v>
      </c>
      <c r="J104" s="168" t="s">
        <v>37</v>
      </c>
      <c r="AT104" s="17"/>
    </row>
    <row r="105" spans="1:46" x14ac:dyDescent="0.25">
      <c r="A105" s="158"/>
      <c r="B105" s="161"/>
      <c r="C105" s="161"/>
      <c r="D105" s="14">
        <v>2</v>
      </c>
      <c r="E105" s="96" t="s">
        <v>855</v>
      </c>
      <c r="F105" s="17" t="s">
        <v>891</v>
      </c>
      <c r="G105" s="96" t="s">
        <v>326</v>
      </c>
      <c r="H105" s="96" t="s">
        <v>856</v>
      </c>
      <c r="I105" s="14" t="s">
        <v>854</v>
      </c>
      <c r="J105" s="169"/>
    </row>
    <row r="106" spans="1:46" x14ac:dyDescent="0.25">
      <c r="A106" s="158"/>
      <c r="B106" s="161"/>
      <c r="C106" s="161"/>
      <c r="D106" s="14">
        <v>3</v>
      </c>
      <c r="E106" s="96" t="s">
        <v>857</v>
      </c>
      <c r="F106" s="35">
        <v>46336</v>
      </c>
      <c r="G106" s="96" t="s">
        <v>677</v>
      </c>
      <c r="H106" s="96" t="s">
        <v>446</v>
      </c>
      <c r="I106" s="14" t="s">
        <v>854</v>
      </c>
      <c r="J106" s="169"/>
    </row>
    <row r="107" spans="1:46" x14ac:dyDescent="0.25">
      <c r="A107" s="158"/>
      <c r="B107" s="161"/>
      <c r="C107" s="161"/>
      <c r="D107" s="14">
        <v>4</v>
      </c>
      <c r="E107" s="96" t="s">
        <v>858</v>
      </c>
      <c r="F107" s="35">
        <v>46336</v>
      </c>
      <c r="G107" s="96" t="s">
        <v>677</v>
      </c>
      <c r="H107" s="96" t="s">
        <v>446</v>
      </c>
      <c r="I107" s="14" t="s">
        <v>854</v>
      </c>
      <c r="J107" s="169"/>
    </row>
    <row r="108" spans="1:46" ht="29.4" thickBot="1" x14ac:dyDescent="0.3">
      <c r="A108" s="159"/>
      <c r="B108" s="162"/>
      <c r="C108" s="162"/>
      <c r="D108" s="71">
        <v>5</v>
      </c>
      <c r="E108" s="100" t="s">
        <v>859</v>
      </c>
      <c r="F108" s="73" t="s">
        <v>267</v>
      </c>
      <c r="G108" s="121" t="s">
        <v>860</v>
      </c>
      <c r="H108" s="100" t="s">
        <v>861</v>
      </c>
      <c r="I108" s="71" t="s">
        <v>854</v>
      </c>
      <c r="J108" s="171"/>
    </row>
    <row r="109" spans="1:46" ht="15" thickBot="1" x14ac:dyDescent="0.3"/>
    <row r="110" spans="1:46" ht="15" thickBot="1" x14ac:dyDescent="0.3">
      <c r="A110" s="154" t="s">
        <v>734</v>
      </c>
      <c r="B110" s="155"/>
      <c r="C110" s="155"/>
      <c r="D110" s="155"/>
      <c r="E110" s="155"/>
      <c r="F110" s="155"/>
      <c r="G110" s="285"/>
      <c r="H110" s="285"/>
      <c r="I110" s="155"/>
      <c r="J110" s="156"/>
    </row>
    <row r="111" spans="1:46" ht="15" thickBot="1" x14ac:dyDescent="0.3"/>
    <row r="112" spans="1:46" ht="58.2" thickBot="1" x14ac:dyDescent="0.3">
      <c r="A112" s="107" t="s">
        <v>897</v>
      </c>
      <c r="B112" s="108" t="s">
        <v>898</v>
      </c>
      <c r="C112" s="108" t="s">
        <v>840</v>
      </c>
      <c r="D112" s="123">
        <v>1</v>
      </c>
      <c r="E112" s="124" t="s">
        <v>900</v>
      </c>
      <c r="F112" s="123" t="s">
        <v>163</v>
      </c>
      <c r="G112" s="108" t="s">
        <v>901</v>
      </c>
      <c r="H112" s="108" t="s">
        <v>902</v>
      </c>
      <c r="I112" s="123" t="s">
        <v>854</v>
      </c>
      <c r="J112" s="125" t="s">
        <v>37</v>
      </c>
    </row>
    <row r="113" spans="1:10" ht="15" thickBot="1" x14ac:dyDescent="0.3">
      <c r="G113" s="17"/>
      <c r="H113" s="17"/>
    </row>
    <row r="114" spans="1:10" ht="58.2" thickBot="1" x14ac:dyDescent="0.3">
      <c r="A114" s="107" t="s">
        <v>903</v>
      </c>
      <c r="B114" s="108" t="s">
        <v>907</v>
      </c>
      <c r="C114" s="108" t="s">
        <v>904</v>
      </c>
      <c r="D114" s="123">
        <v>1</v>
      </c>
      <c r="E114" s="124" t="s">
        <v>905</v>
      </c>
      <c r="F114" s="123" t="s">
        <v>165</v>
      </c>
      <c r="G114" s="108" t="s">
        <v>906</v>
      </c>
      <c r="H114" s="108" t="s">
        <v>913</v>
      </c>
      <c r="I114" s="123" t="s">
        <v>393</v>
      </c>
      <c r="J114" s="125" t="s">
        <v>37</v>
      </c>
    </row>
    <row r="115" spans="1:10" ht="15" thickBot="1" x14ac:dyDescent="0.3">
      <c r="G115" s="26"/>
      <c r="H115" s="26"/>
    </row>
    <row r="116" spans="1:10" ht="72.599999999999994" thickBot="1" x14ac:dyDescent="0.3">
      <c r="A116" s="107" t="s">
        <v>908</v>
      </c>
      <c r="B116" s="108" t="s">
        <v>909</v>
      </c>
      <c r="C116" s="108" t="s">
        <v>910</v>
      </c>
      <c r="D116" s="123">
        <v>1</v>
      </c>
      <c r="E116" s="124" t="s">
        <v>905</v>
      </c>
      <c r="F116" s="123" t="s">
        <v>166</v>
      </c>
      <c r="G116" s="127" t="s">
        <v>911</v>
      </c>
      <c r="H116" s="128" t="s">
        <v>912</v>
      </c>
      <c r="I116" s="126" t="s">
        <v>393</v>
      </c>
      <c r="J116" s="125" t="s">
        <v>37</v>
      </c>
    </row>
    <row r="117" spans="1:10" ht="15" thickBot="1" x14ac:dyDescent="0.3">
      <c r="G117" s="26"/>
      <c r="H117" s="26"/>
    </row>
    <row r="118" spans="1:10" ht="58.2" thickBot="1" x14ac:dyDescent="0.3">
      <c r="A118" s="107" t="s">
        <v>914</v>
      </c>
      <c r="B118" s="108" t="s">
        <v>915</v>
      </c>
      <c r="C118" s="108" t="s">
        <v>916</v>
      </c>
      <c r="D118" s="123">
        <v>1</v>
      </c>
      <c r="E118" s="124" t="s">
        <v>900</v>
      </c>
      <c r="F118" s="123" t="s">
        <v>166</v>
      </c>
      <c r="G118" s="108" t="s">
        <v>917</v>
      </c>
      <c r="H118" s="108" t="s">
        <v>918</v>
      </c>
      <c r="I118" s="123" t="s">
        <v>393</v>
      </c>
      <c r="J118" s="125" t="s">
        <v>37</v>
      </c>
    </row>
    <row r="119" spans="1:10" ht="15" thickBot="1" x14ac:dyDescent="0.3">
      <c r="G119" s="26"/>
      <c r="H119" s="26"/>
    </row>
    <row r="120" spans="1:10" ht="58.2" thickBot="1" x14ac:dyDescent="0.3">
      <c r="A120" s="107" t="s">
        <v>919</v>
      </c>
      <c r="B120" s="108" t="s">
        <v>920</v>
      </c>
      <c r="C120" s="108" t="s">
        <v>921</v>
      </c>
      <c r="D120" s="123">
        <v>1</v>
      </c>
      <c r="E120" s="124" t="s">
        <v>900</v>
      </c>
      <c r="F120" s="123" t="s">
        <v>166</v>
      </c>
      <c r="G120" s="108" t="s">
        <v>922</v>
      </c>
      <c r="H120" s="108" t="s">
        <v>923</v>
      </c>
      <c r="I120" s="123" t="s">
        <v>393</v>
      </c>
      <c r="J120" s="125" t="s">
        <v>37</v>
      </c>
    </row>
  </sheetData>
  <mergeCells count="60">
    <mergeCell ref="A50:A57"/>
    <mergeCell ref="B50:B57"/>
    <mergeCell ref="C50:C57"/>
    <mergeCell ref="J50:J57"/>
    <mergeCell ref="A59:J59"/>
    <mergeCell ref="A31:A38"/>
    <mergeCell ref="B31:B38"/>
    <mergeCell ref="C31:C38"/>
    <mergeCell ref="J31:J38"/>
    <mergeCell ref="A40:A48"/>
    <mergeCell ref="B40:B48"/>
    <mergeCell ref="C40:C48"/>
    <mergeCell ref="J40:J48"/>
    <mergeCell ref="A13:A20"/>
    <mergeCell ref="B13:B20"/>
    <mergeCell ref="C13:C20"/>
    <mergeCell ref="J13:J20"/>
    <mergeCell ref="A22:A29"/>
    <mergeCell ref="B22:B29"/>
    <mergeCell ref="C22:C29"/>
    <mergeCell ref="J22:J29"/>
    <mergeCell ref="A1:J1"/>
    <mergeCell ref="A3:J3"/>
    <mergeCell ref="J4:J11"/>
    <mergeCell ref="C4:C11"/>
    <mergeCell ref="B4:B11"/>
    <mergeCell ref="A4:A11"/>
    <mergeCell ref="J61:J65"/>
    <mergeCell ref="C61:C65"/>
    <mergeCell ref="B61:B65"/>
    <mergeCell ref="A61:A65"/>
    <mergeCell ref="A67:A71"/>
    <mergeCell ref="B67:B71"/>
    <mergeCell ref="C67:C71"/>
    <mergeCell ref="J67:J71"/>
    <mergeCell ref="A73:A77"/>
    <mergeCell ref="B73:B77"/>
    <mergeCell ref="C73:C77"/>
    <mergeCell ref="J73:J77"/>
    <mergeCell ref="A79:A83"/>
    <mergeCell ref="B79:B83"/>
    <mergeCell ref="C79:C83"/>
    <mergeCell ref="J79:J83"/>
    <mergeCell ref="A85:A90"/>
    <mergeCell ref="B85:B90"/>
    <mergeCell ref="C85:C90"/>
    <mergeCell ref="J85:J90"/>
    <mergeCell ref="A92:A96"/>
    <mergeCell ref="B92:B96"/>
    <mergeCell ref="C92:C96"/>
    <mergeCell ref="J92:J96"/>
    <mergeCell ref="A110:J110"/>
    <mergeCell ref="A98:A102"/>
    <mergeCell ref="B98:B102"/>
    <mergeCell ref="C98:C102"/>
    <mergeCell ref="J98:J102"/>
    <mergeCell ref="A104:A108"/>
    <mergeCell ref="B104:B108"/>
    <mergeCell ref="C104:C108"/>
    <mergeCell ref="J104:J108"/>
  </mergeCells>
  <conditionalFormatting sqref="J1:J2">
    <cfRule type="containsText" dxfId="11" priority="13" operator="containsText" text="Fail">
      <formula>NOT(ISERROR(SEARCH("Fail",J1)))</formula>
    </cfRule>
    <cfRule type="containsText" dxfId="10" priority="14" operator="containsText" text="Pass">
      <formula>NOT(ISERROR(SEARCH("Pass",J1)))</formula>
    </cfRule>
  </conditionalFormatting>
  <conditionalFormatting sqref="J4:J61 J109:J1048576 J1:J2 J66:J67 J72:J73 J78:J79 J84:J85 J91:J92 J97:J98 J103:J104">
    <cfRule type="cellIs" dxfId="9" priority="9" operator="equal">
      <formula>"Pass"</formula>
    </cfRule>
    <cfRule type="cellIs" dxfId="8" priority="10" operator="equal">
      <formula>"Fail"</formula>
    </cfRule>
  </conditionalFormatting>
  <conditionalFormatting sqref="J59">
    <cfRule type="cellIs" dxfId="7" priority="5" operator="equal">
      <formula>"Fail"</formula>
    </cfRule>
    <cfRule type="cellIs" dxfId="6" priority="6" operator="equal">
      <formula>"Pass"</formula>
    </cfRule>
    <cfRule type="containsText" dxfId="5" priority="7" operator="containsText" text="Fail">
      <formula>NOT(ISERROR(SEARCH("Fail",J59)))</formula>
    </cfRule>
    <cfRule type="containsText" dxfId="4" priority="8" operator="containsText" text="Pass">
      <formula>NOT(ISERROR(SEARCH("Pass",J59)))</formula>
    </cfRule>
  </conditionalFormatting>
  <conditionalFormatting sqref="J110">
    <cfRule type="cellIs" dxfId="3" priority="1" operator="equal">
      <formula>"Fail"</formula>
    </cfRule>
    <cfRule type="cellIs" dxfId="2" priority="2" operator="equal">
      <formula>"Pass"</formula>
    </cfRule>
    <cfRule type="containsText" dxfId="1" priority="3" operator="containsText" text="Fail">
      <formula>NOT(ISERROR(SEARCH("Fail",J110)))</formula>
    </cfRule>
    <cfRule type="containsText" dxfId="0" priority="4" operator="containsText" text="Pass">
      <formula>NOT(ISERROR(SEARCH("Pass",J110)))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F0A83AD-150B-41F5-96BF-713E73265641}">
          <x14:formula1>
            <xm:f>Introduction!$AP$17:$AP$21</xm:f>
          </x14:formula1>
          <xm:sqref>F4:F5 F13:F14 F22:F23 F31:F32 F40:F41 F50:F51 F62 F68 F74 F80 R88 F86 F93 F99 AT104</xm:sqref>
        </x14:dataValidation>
        <x14:dataValidation type="list" allowBlank="1" showInputMessage="1" showErrorMessage="1" xr:uid="{5EFB177C-0D19-4A12-8E16-246387ABBB6C}">
          <x14:formula1>
            <xm:f>Introduction!$AM$17:$AM$26</xm:f>
          </x14:formula1>
          <xm:sqref>F8 F17 F26 F35 M7 F44 F54 F61 F67 F73 F79 F85 F92 F98 F104 F112 F114 F116 F118 F120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Test Scenario</vt:lpstr>
      <vt:lpstr>Defect Report</vt:lpstr>
      <vt:lpstr>Login - TC</vt:lpstr>
      <vt:lpstr>Sales - TC</vt:lpstr>
      <vt:lpstr>Purchase - TC</vt:lpstr>
      <vt:lpstr>Items &amp; Inventory - 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SINGH</dc:creator>
  <cp:lastModifiedBy>Aryan 57351</cp:lastModifiedBy>
  <dcterms:created xsi:type="dcterms:W3CDTF">2015-06-05T18:17:20Z</dcterms:created>
  <dcterms:modified xsi:type="dcterms:W3CDTF">2026-10-15T12:51:45Z</dcterms:modified>
</cp:coreProperties>
</file>